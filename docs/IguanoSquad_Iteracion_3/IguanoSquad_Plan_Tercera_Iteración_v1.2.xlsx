
<file path=[Content_Types].xml><?xml version="1.0" encoding="utf-8"?>
<Types xmlns="http://schemas.openxmlformats.org/package/2006/content-types">
  <Default ContentType="application/xml" Extension="xml"/>
  <Default ContentType="image/png" Extension="png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table+xml" PartName="/xl/tables/table13.xml"/>
  <Override ContentType="application/vnd.openxmlformats-officedocument.spreadsheetml.table+xml" PartName="/xl/tables/table4.xml"/>
  <Override ContentType="application/vnd.openxmlformats-officedocument.spreadsheetml.table+xml" PartName="/xl/tables/table1.xml"/>
  <Override ContentType="application/vnd.openxmlformats-officedocument.spreadsheetml.table+xml" PartName="/xl/tables/table2.xml"/>
  <Override ContentType="application/vnd.openxmlformats-officedocument.spreadsheetml.table+xml" PartName="/xl/tables/table6.xml"/>
  <Override ContentType="application/vnd.openxmlformats-officedocument.spreadsheetml.table+xml" PartName="/xl/tables/table8.xml"/>
  <Override ContentType="application/vnd.openxmlformats-officedocument.spreadsheetml.table+xml" PartName="/xl/tables/table11.xml"/>
  <Override ContentType="application/vnd.openxmlformats-officedocument.spreadsheetml.table+xml" PartName="/xl/tables/table5.xml"/>
  <Override ContentType="application/vnd.openxmlformats-officedocument.spreadsheetml.table+xml" PartName="/xl/tables/table3.xml"/>
  <Override ContentType="application/vnd.openxmlformats-officedocument.spreadsheetml.table+xml" PartName="/xl/tables/table10.xml"/>
  <Override ContentType="application/vnd.openxmlformats-officedocument.spreadsheetml.table+xml" PartName="/xl/tables/table7.xml"/>
  <Override ContentType="application/vnd.openxmlformats-officedocument.spreadsheetml.table+xml" PartName="/xl/tables/table14.xml"/>
  <Override ContentType="application/vnd.openxmlformats-officedocument.spreadsheetml.table+xml" PartName="/xl/tables/table12.xml"/>
  <Override ContentType="application/vnd.openxmlformats-officedocument.spreadsheetml.table+xml" PartName="/xl/tables/table9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Hoja 1" sheetId="1" r:id="rId5"/>
    <sheet state="visible" name="Hoja 2" sheetId="2" r:id="rId6"/>
  </sheets>
  <definedNames/>
  <calcPr/>
</workbook>
</file>

<file path=xl/sharedStrings.xml><?xml version="1.0" encoding="utf-8"?>
<sst xmlns="http://schemas.openxmlformats.org/spreadsheetml/2006/main" count="365" uniqueCount="190">
  <si>
    <t>Planeacion de segunda Iteración</t>
  </si>
  <si>
    <t>Inicio de Iteración</t>
  </si>
  <si>
    <t>Fin de Iteración</t>
  </si>
  <si>
    <t>Column 1</t>
  </si>
  <si>
    <t>Descripción</t>
  </si>
  <si>
    <t>Responbable</t>
  </si>
  <si>
    <t>Estado</t>
  </si>
  <si>
    <t>Horas Planeadas</t>
  </si>
  <si>
    <t>Fecha Planeada</t>
  </si>
  <si>
    <t>Valor Planeado</t>
  </si>
  <si>
    <t>Valor Acumulado</t>
  </si>
  <si>
    <t>Horas Reales</t>
  </si>
  <si>
    <t>Fecha Real</t>
  </si>
  <si>
    <t>Valor Acumulado Real</t>
  </si>
  <si>
    <t>SR2</t>
  </si>
  <si>
    <t>Documentación del Use Case 9</t>
  </si>
  <si>
    <t>Angel</t>
  </si>
  <si>
    <t>Completo</t>
  </si>
  <si>
    <t>Revisión de la documentación Use Case 9</t>
  </si>
  <si>
    <t>Documentación del Use Case 10</t>
  </si>
  <si>
    <t>Sebastian</t>
  </si>
  <si>
    <t>Revisión de la documentación Use Case 10</t>
  </si>
  <si>
    <t>Documentación del Use Case 11</t>
  </si>
  <si>
    <t>Mayela</t>
  </si>
  <si>
    <t>Revisión de la documentación Use Case 11</t>
  </si>
  <si>
    <t>Documentación del Use Case 12</t>
  </si>
  <si>
    <t>Antonio</t>
  </si>
  <si>
    <t>Revisión de la documentación Use Case 12</t>
  </si>
  <si>
    <t>Elaborar matriz de trazabilidad</t>
  </si>
  <si>
    <t>Angel_Responsable</t>
  </si>
  <si>
    <t>Revisión de la matriz de trazabilidad</t>
  </si>
  <si>
    <t>Sebastian_Responsable</t>
  </si>
  <si>
    <t>Elaborar especificaciones de requisitos (funcionales y no funcionales)</t>
  </si>
  <si>
    <t>Revisar la especificación de requisitos (SRS)</t>
  </si>
  <si>
    <t>Revisión SRS</t>
  </si>
  <si>
    <t>Actualizar el plan IVV</t>
  </si>
  <si>
    <t>SR3</t>
  </si>
  <si>
    <t>Actualizar plan de integración</t>
  </si>
  <si>
    <t>Identificación de Trade-Offs</t>
  </si>
  <si>
    <t>Revisión de Trade-Offs</t>
  </si>
  <si>
    <t>Diseño de diagrama de componentes</t>
  </si>
  <si>
    <t>Revisión del diseño del diagrama de componentes</t>
  </si>
  <si>
    <t>Diseño del diagrama de secuencia del UC 9</t>
  </si>
  <si>
    <t>Revisión de diseño del diagrama de secuencia del UC 9</t>
  </si>
  <si>
    <t>Diseño del diagrama de secuencia del UC 10</t>
  </si>
  <si>
    <t>Revisión de diseño del diagrama de secuencia del UC 10</t>
  </si>
  <si>
    <t>Diseño del diagrama de secuencia del UC 11</t>
  </si>
  <si>
    <t>Revisión de diseño del diagrama de secuencia del UC 11</t>
  </si>
  <si>
    <t>Diseño del diagrama de secuencia del UC 12</t>
  </si>
  <si>
    <t>Revisión de diseño del diagrama de secuencia del UC 12</t>
  </si>
  <si>
    <t>Diseño de la interfaz del UC 9</t>
  </si>
  <si>
    <t>Revisión del diseño de la interfaz del UC 9</t>
  </si>
  <si>
    <t>Diseño de la interfaz del UC 10</t>
  </si>
  <si>
    <t>Revisión del diseño de la interfaz del UC 10</t>
  </si>
  <si>
    <t>Diseño de la interfaz del UC 11</t>
  </si>
  <si>
    <t>Revisión del diseño de la interfaz del UC 11</t>
  </si>
  <si>
    <t>Riesgo</t>
  </si>
  <si>
    <t>Probabilidad</t>
  </si>
  <si>
    <t>Impacto</t>
  </si>
  <si>
    <t>Plan de contención</t>
  </si>
  <si>
    <t>Estado del riesgo</t>
  </si>
  <si>
    <t>Diseño de la interfaz del UC 12</t>
  </si>
  <si>
    <t>R-1 Conflictos interno</t>
  </si>
  <si>
    <t xml:space="preserve">Desacuerdos graves entre integrantes </t>
  </si>
  <si>
    <t>Alta</t>
  </si>
  <si>
    <t>Alto</t>
  </si>
  <si>
    <t>Se somete a votación el desacuerdo pero en caso de que haya faltas de respeto se aplican las sanciones descritas en el IguanoSquad_Codigo_De_Comportamiento_v2.0</t>
  </si>
  <si>
    <t>No hubo</t>
  </si>
  <si>
    <t>Revisión del diseño de la interfaz del UC 12</t>
  </si>
  <si>
    <t>R-2 Retrasos en la finalización de tareas</t>
  </si>
  <si>
    <t>Retrasos debido a dificultades tecnicas o falta de conocimientos</t>
  </si>
  <si>
    <t>Se subastará la actividad para que el integrante intercambie la tarea en específico con un compañero, en caso de que nadie este capacitado se solicitará apoyo a la maestra por orientación.</t>
  </si>
  <si>
    <t>SR4</t>
  </si>
  <si>
    <t>Construcción de la tabla de base de datos UC 9</t>
  </si>
  <si>
    <t>R-3 Asuntos personales</t>
  </si>
  <si>
    <t xml:space="preserve">Enfermedades, problemas familiares o compromisos personales que pueden afectar la disponibilidad para trabajar en el proyecto </t>
  </si>
  <si>
    <t>Media</t>
  </si>
  <si>
    <t>En caso de que un integrante no este disponible para trabajar, deberá de compensar las horas, en caso que sea muy cotidiano el equipo evaluará la situación y si aplica se sancionará como lo descroba el IguanoSquad_Codigo_De_Comportamiento_V2.0</t>
  </si>
  <si>
    <t>Construcción de la tabla de base de datos UC 10</t>
  </si>
  <si>
    <t>R-4  No verificar el funcionamiento de nuestra aplicación</t>
  </si>
  <si>
    <t>No testear las funciones de nuestra aplicación</t>
  </si>
  <si>
    <t>Enfatizar al líder de calidad que realicé todos los escenarios posibles en la app que involucren la creación/edición/visualización/eliminación de objetos en la base de datos.</t>
  </si>
  <si>
    <t>Construcción de la tabla de base de datos UC 11</t>
  </si>
  <si>
    <t xml:space="preserve">R-5 Paro en el campus </t>
  </si>
  <si>
    <t>No poder asisitir al campus por lo cual no podremos trabajar prensencialmente</t>
  </si>
  <si>
    <t>bajo</t>
  </si>
  <si>
    <t>El equipo trabajará virtualmente</t>
  </si>
  <si>
    <t>Construcción de la tabla de base de datos UC 12</t>
  </si>
  <si>
    <t>R-6 No realizar validaciónes con usuarios reales</t>
  </si>
  <si>
    <t>No testear la aplicación con usuarios para obtener retroalimentación sobre si se cumplieron los requisitos</t>
  </si>
  <si>
    <t>Baja</t>
  </si>
  <si>
    <t>Terminar las funciones comprometidas con al menos 1 dia de anticipación</t>
  </si>
  <si>
    <t>Construcción de la interfaz de usuario UC 9</t>
  </si>
  <si>
    <t>Revisión de la construcción de la interfaz del UC 9</t>
  </si>
  <si>
    <t>Descripcion</t>
  </si>
  <si>
    <t>Integrante</t>
  </si>
  <si>
    <t>Realizar pruebas unitarias para la interfaz del UC 9</t>
  </si>
  <si>
    <t>listar eventos</t>
  </si>
  <si>
    <t>Hitos</t>
  </si>
  <si>
    <t>Fecha</t>
  </si>
  <si>
    <t>Construcción de la interfaz de usuario UC 10</t>
  </si>
  <si>
    <t>crear eventos</t>
  </si>
  <si>
    <t xml:space="preserve">Inicio de iteración </t>
  </si>
  <si>
    <t>Revisión de la construcción de la interfaz del UC 10</t>
  </si>
  <si>
    <t>crear articulos</t>
  </si>
  <si>
    <t>Negociación segunda iteración</t>
  </si>
  <si>
    <t>Realizar pruebas unitarias para la interfaz del UC 10</t>
  </si>
  <si>
    <t>listar articulos</t>
  </si>
  <si>
    <t xml:space="preserve">Entrega de la iteración </t>
  </si>
  <si>
    <t>Construcción de la interfaz de usuario UC 11</t>
  </si>
  <si>
    <t>Editar eventos</t>
  </si>
  <si>
    <t>Revisión de la construcción de la interfaz del UC 11</t>
  </si>
  <si>
    <t>Editar articulos</t>
  </si>
  <si>
    <t>Realizar pruebas unitarias para la interfaz del UC 11</t>
  </si>
  <si>
    <t>hacer pregunta</t>
  </si>
  <si>
    <t xml:space="preserve">Sebastian </t>
  </si>
  <si>
    <t>Construcción de la interfaz de usuario UC 12</t>
  </si>
  <si>
    <t>responder pregunta</t>
  </si>
  <si>
    <t>Revisión de la construcción de la interfaz del UC 12</t>
  </si>
  <si>
    <t>Ver detalles de actividades</t>
  </si>
  <si>
    <t>Realizar pruebas unitarias para la interfaz del UC 12</t>
  </si>
  <si>
    <t>Registrar asistencia</t>
  </si>
  <si>
    <t>Construcción de la API UC 9</t>
  </si>
  <si>
    <t>Eliminar Actividad</t>
  </si>
  <si>
    <t>Revisión de la construcción de la API UC 9</t>
  </si>
  <si>
    <t>Eliminar producto</t>
  </si>
  <si>
    <t>Realizar pruebas unitarias para la api del UC 9</t>
  </si>
  <si>
    <t>Construcción de la API UC 10</t>
  </si>
  <si>
    <t>Revisión de la construcción de la API UC 10</t>
  </si>
  <si>
    <t>Realizar pruebas unitarias para la api del UC 10</t>
  </si>
  <si>
    <t>Construcción de la API UC 11</t>
  </si>
  <si>
    <t>Revisión de la construcción de la API UC 11</t>
  </si>
  <si>
    <t>Realizar pruebas unitarias para la api del UC 11</t>
  </si>
  <si>
    <t>Construcción de la API UC 12</t>
  </si>
  <si>
    <t>Revisión de la construcción de la API UC 12</t>
  </si>
  <si>
    <t>Realizar pruebas unitarias para la api del UC 12</t>
  </si>
  <si>
    <t>SR5</t>
  </si>
  <si>
    <t>Realizar pruebas de integración</t>
  </si>
  <si>
    <t>Mayela_Responsable</t>
  </si>
  <si>
    <t>Verificar el plan IVV</t>
  </si>
  <si>
    <t>Verificar el sistema con los requerimientos</t>
  </si>
  <si>
    <t>Corregir defectos encontrados y volver a hacer pruebas si se encuentran defectos</t>
  </si>
  <si>
    <t>Realizar validaciones con ambientalista 1</t>
  </si>
  <si>
    <t>Realizar validaciones con ambientalista 2</t>
  </si>
  <si>
    <t>Realizar validaciones con ambientalista 3</t>
  </si>
  <si>
    <t>Realizar validaciones con ambientalista 4</t>
  </si>
  <si>
    <t>SR6</t>
  </si>
  <si>
    <t>Revisar la configuración del sistema a entregar</t>
  </si>
  <si>
    <t>Documentar la guía de operación</t>
  </si>
  <si>
    <t>Verificar la guía de operación</t>
  </si>
  <si>
    <t>Realizar entrega</t>
  </si>
  <si>
    <t>Antonio_Responsable</t>
  </si>
  <si>
    <t>En Processo</t>
  </si>
  <si>
    <t>TOTAL</t>
  </si>
  <si>
    <t>Miembros del equipo</t>
  </si>
  <si>
    <t>Horas reales distribuidas</t>
  </si>
  <si>
    <t>Lunes</t>
  </si>
  <si>
    <t>Martes</t>
  </si>
  <si>
    <t>Miercoles</t>
  </si>
  <si>
    <t>Jueves</t>
  </si>
  <si>
    <t>Viernes</t>
  </si>
  <si>
    <t>Horas Antonio</t>
  </si>
  <si>
    <t>Horas Seb</t>
  </si>
  <si>
    <t>Horas Mayela</t>
  </si>
  <si>
    <t>Horas Angel</t>
  </si>
  <si>
    <t>Horas acumuladas disponibles de TODOS los integrantes del equipo</t>
  </si>
  <si>
    <t>Mayela Sarria Salzar</t>
  </si>
  <si>
    <t>12:00 - 2:00</t>
  </si>
  <si>
    <t>7:00-8:00</t>
  </si>
  <si>
    <t>12:00 - 2:00, 18:00 - 20:00</t>
  </si>
  <si>
    <t>10:00-1:00</t>
  </si>
  <si>
    <t>Antonio González del Rio</t>
  </si>
  <si>
    <t>18:00-19:00</t>
  </si>
  <si>
    <t>Sebastian Ortiz Lopez</t>
  </si>
  <si>
    <t>4:00 - 8:00</t>
  </si>
  <si>
    <t>Angel David Carlos Silva</t>
  </si>
  <si>
    <t>12:00 - 14:00, 18:00 - 20:00</t>
  </si>
  <si>
    <t>12:00 - 16:00, 20:00 - 22:00</t>
  </si>
  <si>
    <t>12:00 - 16:00</t>
  </si>
  <si>
    <t>13:00 - 17:00</t>
  </si>
  <si>
    <t>Horas planeadas</t>
  </si>
  <si>
    <t>Horas reales</t>
  </si>
  <si>
    <t>total de horas</t>
  </si>
  <si>
    <t xml:space="preserve">CPI </t>
  </si>
  <si>
    <t>Columna 1</t>
  </si>
  <si>
    <t>Columna 2</t>
  </si>
  <si>
    <t>Columna 3</t>
  </si>
  <si>
    <t>Columna 4</t>
  </si>
  <si>
    <t>Columna 5</t>
  </si>
  <si>
    <t>Columna 6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</si>
</sst>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2">
    <numFmt numFmtId="164" formatCode="dd/mm/yyyy"/>
    <numFmt numFmtId="165" formatCode="d mmmm"/>
  </numFmts>
  <fonts count="11">
    <font>
      <sz val="10.0"/>
      <color rgb="FF000000"/>
      <name val="Arial"/>
      <scheme val="minor"/>
    </font>
    <font>
      <color rgb="FFFFFFFF"/>
      <name val="Arial"/>
    </font>
    <font>
      <color rgb="FF000000"/>
      <name val="Arial"/>
    </font>
    <font>
      <color theme="1"/>
      <name val="Arial"/>
    </font>
    <font>
      <color theme="1"/>
      <name val="Arial"/>
      <scheme val="minor"/>
    </font>
    <font>
      <b/>
      <color theme="1"/>
      <name val="Arial"/>
      <scheme val="minor"/>
    </font>
    <font>
      <color rgb="FF434343"/>
      <name val="Roboto"/>
    </font>
    <font>
      <color theme="1"/>
      <name val="Calibri"/>
    </font>
    <font>
      <b/>
      <color theme="1"/>
      <name val="Arial"/>
    </font>
    <font>
      <b/>
      <color rgb="FF000000"/>
      <name val="Arial"/>
    </font>
    <font>
      <sz val="11.0"/>
      <color rgb="FF000000"/>
      <name val="Arial"/>
    </font>
  </fonts>
  <fills count="12">
    <fill>
      <patternFill patternType="none"/>
    </fill>
    <fill>
      <patternFill patternType="lightGray"/>
    </fill>
    <fill>
      <patternFill patternType="solid">
        <fgColor rgb="FF356854"/>
        <bgColor rgb="FF356854"/>
      </patternFill>
    </fill>
    <fill>
      <patternFill patternType="solid">
        <fgColor rgb="FFFFFFFF"/>
        <bgColor rgb="FFFFFFFF"/>
      </patternFill>
    </fill>
    <fill>
      <patternFill patternType="solid">
        <fgColor rgb="FFF6F8F9"/>
        <bgColor rgb="FFF6F8F9"/>
      </patternFill>
    </fill>
    <fill>
      <patternFill patternType="solid">
        <fgColor rgb="FFD9EAD3"/>
        <bgColor rgb="FFD9EAD3"/>
      </patternFill>
    </fill>
    <fill>
      <patternFill patternType="solid">
        <fgColor rgb="FFE06666"/>
        <bgColor rgb="FFE06666"/>
      </patternFill>
    </fill>
    <fill>
      <patternFill patternType="solid">
        <fgColor rgb="FFF6B26B"/>
        <bgColor rgb="FFF6B26B"/>
      </patternFill>
    </fill>
    <fill>
      <patternFill patternType="solid">
        <fgColor rgb="FF93C47D"/>
        <bgColor rgb="FF93C47D"/>
      </patternFill>
    </fill>
    <fill>
      <patternFill patternType="solid">
        <fgColor rgb="FFFCE5CD"/>
        <bgColor rgb="FFFCE5CD"/>
      </patternFill>
    </fill>
    <fill>
      <patternFill patternType="solid">
        <fgColor rgb="FFEFEFEF"/>
        <bgColor rgb="FFEFEFEF"/>
      </patternFill>
    </fill>
    <fill>
      <patternFill patternType="solid">
        <fgColor rgb="FFFFFF00"/>
        <bgColor rgb="FFFFFF00"/>
      </patternFill>
    </fill>
  </fills>
  <borders count="5">
    <border/>
    <border>
      <left style="thin">
        <color rgb="FF000000"/>
      </left>
      <right style="thin">
        <color rgb="FF000000"/>
      </right>
      <top style="thin">
        <color rgb="FF000000"/>
      </top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F6F8F9"/>
      </left>
      <right style="thin">
        <color rgb="FFF6F8F9"/>
      </right>
      <top style="thin">
        <color rgb="FFF6F8F9"/>
      </top>
      <bottom style="thin">
        <color rgb="FFF6F8F9"/>
      </bottom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</border>
  </borders>
  <cellStyleXfs count="1">
    <xf borderId="0" fillId="0" fontId="0" numFmtId="0" applyAlignment="1" applyFont="1"/>
  </cellStyleXfs>
  <cellXfs count="97">
    <xf borderId="0" fillId="0" fontId="0" numFmtId="0" xfId="0" applyAlignment="1" applyFont="1">
      <alignment readingOrder="0" shrinkToFit="0" vertical="bottom" wrapText="0"/>
    </xf>
    <xf borderId="0" fillId="2" fontId="1" numFmtId="0" xfId="0" applyAlignment="1" applyFill="1" applyFont="1">
      <alignment horizontal="center" readingOrder="0" shrinkToFit="0" vertical="bottom" wrapText="1"/>
    </xf>
    <xf borderId="0" fillId="3" fontId="1" numFmtId="0" xfId="0" applyAlignment="1" applyFill="1" applyFont="1">
      <alignment horizontal="center" readingOrder="0" shrinkToFit="0" vertical="bottom" wrapText="1"/>
    </xf>
    <xf borderId="0" fillId="0" fontId="2" numFmtId="0" xfId="0" applyAlignment="1" applyFont="1">
      <alignment readingOrder="0" shrinkToFit="0" vertical="bottom" wrapText="1"/>
    </xf>
    <xf borderId="0" fillId="0" fontId="2" numFmtId="164" xfId="0" applyAlignment="1" applyFont="1" applyNumberFormat="1">
      <alignment readingOrder="0" shrinkToFit="0" vertical="bottom" wrapText="1"/>
    </xf>
    <xf borderId="0" fillId="0" fontId="2" numFmtId="0" xfId="0" applyAlignment="1" applyFont="1">
      <alignment shrinkToFit="0" vertical="bottom" wrapText="1"/>
    </xf>
    <xf borderId="0" fillId="0" fontId="2" numFmtId="0" xfId="0" applyAlignment="1" applyFont="1">
      <alignment horizontal="right" readingOrder="0" shrinkToFit="0" vertical="bottom" wrapText="1"/>
    </xf>
    <xf borderId="0" fillId="0" fontId="3" numFmtId="0" xfId="0" applyAlignment="1" applyFont="1">
      <alignment readingOrder="0" shrinkToFit="0" vertical="bottom" wrapText="1"/>
    </xf>
    <xf borderId="0" fillId="0" fontId="3" numFmtId="49" xfId="0" applyAlignment="1" applyFont="1" applyNumberFormat="1">
      <alignment horizontal="left" readingOrder="0" shrinkToFit="0" vertical="bottom" wrapText="1"/>
    </xf>
    <xf borderId="0" fillId="0" fontId="4" numFmtId="0" xfId="0" applyAlignment="1" applyFont="1">
      <alignment readingOrder="0" shrinkToFit="0" vertical="center" wrapText="1"/>
    </xf>
    <xf borderId="0" fillId="0" fontId="2" numFmtId="0" xfId="0" applyAlignment="1" applyFont="1">
      <alignment readingOrder="0" shrinkToFit="0" vertical="bottom" wrapText="1"/>
    </xf>
    <xf borderId="0" fillId="0" fontId="4" numFmtId="0" xfId="0" applyAlignment="1" applyFont="1">
      <alignment readingOrder="0" shrinkToFit="0" vertical="center" wrapText="0"/>
    </xf>
    <xf borderId="0" fillId="0" fontId="2" numFmtId="0" xfId="0" applyAlignment="1" applyFont="1">
      <alignment horizontal="right" readingOrder="0" shrinkToFit="0" vertical="bottom" wrapText="1"/>
    </xf>
    <xf borderId="0" fillId="0" fontId="2" numFmtId="164" xfId="0" applyAlignment="1" applyFont="1" applyNumberFormat="1">
      <alignment readingOrder="0" shrinkToFit="0" vertical="bottom" wrapText="1"/>
    </xf>
    <xf borderId="0" fillId="0" fontId="3" numFmtId="0" xfId="0" applyAlignment="1" applyFont="1">
      <alignment horizontal="right" readingOrder="0" shrinkToFit="0" vertical="bottom" wrapText="1"/>
    </xf>
    <xf borderId="0" fillId="3" fontId="3" numFmtId="0" xfId="0" applyAlignment="1" applyFont="1">
      <alignment horizontal="right" readingOrder="0" shrinkToFit="0" vertical="bottom" wrapText="1"/>
    </xf>
    <xf borderId="0" fillId="0" fontId="4" numFmtId="0" xfId="0" applyAlignment="1" applyFont="1">
      <alignment horizontal="right" readingOrder="0" shrinkToFit="0" vertical="center" wrapText="1"/>
    </xf>
    <xf borderId="0" fillId="0" fontId="2" numFmtId="0" xfId="0" applyAlignment="1" applyFont="1">
      <alignment shrinkToFit="0" vertical="bottom" wrapText="1"/>
    </xf>
    <xf borderId="0" fillId="4" fontId="3" numFmtId="0" xfId="0" applyAlignment="1" applyFill="1" applyFont="1">
      <alignment horizontal="right" shrinkToFit="0" vertical="bottom" wrapText="1"/>
    </xf>
    <xf borderId="0" fillId="3" fontId="3" numFmtId="0" xfId="0" applyAlignment="1" applyFont="1">
      <alignment horizontal="right" shrinkToFit="0" vertical="bottom" wrapText="1"/>
    </xf>
    <xf borderId="0" fillId="0" fontId="4" numFmtId="0" xfId="0" applyAlignment="1" applyFont="1">
      <alignment readingOrder="0" shrinkToFit="0" wrapText="1"/>
    </xf>
    <xf borderId="0" fillId="0" fontId="4" numFmtId="0" xfId="0" applyAlignment="1" applyFont="1">
      <alignment readingOrder="0" shrinkToFit="0" wrapText="1"/>
    </xf>
    <xf borderId="0" fillId="0" fontId="4" numFmtId="0" xfId="0" applyAlignment="1" applyFont="1">
      <alignment readingOrder="0" shrinkToFit="0" vertical="center" wrapText="0"/>
    </xf>
    <xf borderId="0" fillId="0" fontId="4" numFmtId="0" xfId="0" applyAlignment="1" applyFont="1">
      <alignment readingOrder="0" shrinkToFit="0" vertical="center" wrapText="1"/>
    </xf>
    <xf borderId="0" fillId="0" fontId="4" numFmtId="164" xfId="0" applyAlignment="1" applyFont="1" applyNumberFormat="1">
      <alignment readingOrder="0" shrinkToFit="0" vertical="center" wrapText="0"/>
    </xf>
    <xf borderId="0" fillId="0" fontId="4" numFmtId="0" xfId="0" applyAlignment="1" applyFont="1">
      <alignment shrinkToFit="0" vertical="center" wrapText="1"/>
    </xf>
    <xf borderId="0" fillId="0" fontId="5" numFmtId="0" xfId="0" applyAlignment="1" applyFont="1">
      <alignment horizontal="center" readingOrder="0" shrinkToFit="0" vertical="center" wrapText="1"/>
    </xf>
    <xf borderId="1" fillId="5" fontId="4" numFmtId="0" xfId="0" applyAlignment="1" applyBorder="1" applyFill="1" applyFont="1">
      <alignment readingOrder="0" shrinkToFit="0" vertical="center" wrapText="1"/>
    </xf>
    <xf borderId="1" fillId="6" fontId="4" numFmtId="0" xfId="0" applyAlignment="1" applyBorder="1" applyFill="1" applyFont="1">
      <alignment readingOrder="0" shrinkToFit="0" vertical="center" wrapText="1"/>
    </xf>
    <xf borderId="2" fillId="5" fontId="4" numFmtId="0" xfId="0" applyAlignment="1" applyBorder="1" applyFont="1">
      <alignment readingOrder="0" shrinkToFit="0" vertical="center" wrapText="1"/>
    </xf>
    <xf borderId="2" fillId="6" fontId="4" numFmtId="0" xfId="0" applyAlignment="1" applyBorder="1" applyFont="1">
      <alignment readingOrder="0" shrinkToFit="0" vertical="center" wrapText="1"/>
    </xf>
    <xf borderId="2" fillId="7" fontId="4" numFmtId="0" xfId="0" applyAlignment="1" applyBorder="1" applyFill="1" applyFont="1">
      <alignment readingOrder="0" shrinkToFit="0" vertical="center" wrapText="1"/>
    </xf>
    <xf borderId="1" fillId="7" fontId="4" numFmtId="0" xfId="0" applyAlignment="1" applyBorder="1" applyFont="1">
      <alignment readingOrder="0" shrinkToFit="0" vertical="center" wrapText="1"/>
    </xf>
    <xf borderId="1" fillId="8" fontId="4" numFmtId="0" xfId="0" applyAlignment="1" applyBorder="1" applyFill="1" applyFont="1">
      <alignment readingOrder="0" shrinkToFit="0" vertical="center" wrapText="1"/>
    </xf>
    <xf borderId="0" fillId="0" fontId="4" numFmtId="0" xfId="0" applyAlignment="1" applyFont="1">
      <alignment shrinkToFit="0" vertical="center" wrapText="0"/>
    </xf>
    <xf borderId="2" fillId="8" fontId="4" numFmtId="0" xfId="0" applyAlignment="1" applyBorder="1" applyFont="1">
      <alignment readingOrder="0" shrinkToFit="0" wrapText="1"/>
    </xf>
    <xf borderId="3" fillId="4" fontId="6" numFmtId="0" xfId="0" applyAlignment="1" applyBorder="1" applyFont="1">
      <alignment readingOrder="0" shrinkToFit="0" vertical="center" wrapText="1"/>
    </xf>
    <xf borderId="2" fillId="5" fontId="4" numFmtId="0" xfId="0" applyAlignment="1" applyBorder="1" applyFont="1">
      <alignment readingOrder="0" shrinkToFit="0" wrapText="1"/>
    </xf>
    <xf borderId="0" fillId="0" fontId="4" numFmtId="0" xfId="0" applyAlignment="1" applyFont="1">
      <alignment horizontal="left" readingOrder="0" shrinkToFit="0" vertical="center" wrapText="0"/>
    </xf>
    <xf borderId="0" fillId="0" fontId="4" numFmtId="0" xfId="0" applyFont="1"/>
    <xf borderId="1" fillId="5" fontId="4" numFmtId="0" xfId="0" applyAlignment="1" applyBorder="1" applyFont="1">
      <alignment readingOrder="0" shrinkToFit="0" wrapText="1"/>
    </xf>
    <xf borderId="0" fillId="0" fontId="4" numFmtId="164" xfId="0" applyAlignment="1" applyFont="1" applyNumberFormat="1">
      <alignment shrinkToFit="0" vertical="center" wrapText="0"/>
    </xf>
    <xf borderId="0" fillId="3" fontId="4" numFmtId="0" xfId="0" applyAlignment="1" applyFont="1">
      <alignment readingOrder="0" shrinkToFit="0" vertical="center" wrapText="0"/>
    </xf>
    <xf borderId="0" fillId="3" fontId="4" numFmtId="164" xfId="0" applyAlignment="1" applyFont="1" applyNumberFormat="1">
      <alignment readingOrder="0" shrinkToFit="0" vertical="center" wrapText="0"/>
    </xf>
    <xf borderId="0" fillId="3" fontId="4" numFmtId="0" xfId="0" applyFont="1"/>
    <xf borderId="0" fillId="3" fontId="3" numFmtId="0" xfId="0" applyAlignment="1" applyFont="1">
      <alignment horizontal="right" readingOrder="0" shrinkToFit="0" vertical="bottom" wrapText="1"/>
    </xf>
    <xf borderId="0" fillId="3" fontId="3" numFmtId="0" xfId="0" applyAlignment="1" applyFont="1">
      <alignment horizontal="right" readingOrder="0" shrinkToFit="0" vertical="bottom" wrapText="1"/>
    </xf>
    <xf borderId="4" fillId="3" fontId="6" numFmtId="0" xfId="0" applyAlignment="1" applyBorder="1" applyFont="1">
      <alignment shrinkToFit="0" vertical="center" wrapText="1"/>
    </xf>
    <xf borderId="0" fillId="3" fontId="4" numFmtId="0" xfId="0" applyFont="1"/>
    <xf borderId="0" fillId="3" fontId="7" numFmtId="0" xfId="0" applyFont="1"/>
    <xf borderId="0" fillId="3" fontId="3" numFmtId="0" xfId="0" applyAlignment="1" applyFont="1">
      <alignment horizontal="right" readingOrder="0" shrinkToFit="0" vertical="bottom" wrapText="1"/>
    </xf>
    <xf borderId="0" fillId="3" fontId="7" numFmtId="0" xfId="0" applyAlignment="1" applyFont="1">
      <alignment readingOrder="0"/>
    </xf>
    <xf borderId="0" fillId="0" fontId="3" numFmtId="164" xfId="0" applyAlignment="1" applyFont="1" applyNumberFormat="1">
      <alignment horizontal="right" readingOrder="0" shrinkToFit="0" vertical="bottom" wrapText="1"/>
    </xf>
    <xf borderId="0" fillId="0" fontId="3" numFmtId="164" xfId="0" applyAlignment="1" applyFont="1" applyNumberFormat="1">
      <alignment horizontal="right" shrinkToFit="0" vertical="bottom" wrapText="1"/>
    </xf>
    <xf borderId="0" fillId="0" fontId="7" numFmtId="0" xfId="0" applyAlignment="1" applyFont="1">
      <alignment readingOrder="0"/>
    </xf>
    <xf borderId="0" fillId="0" fontId="2" numFmtId="0" xfId="0" applyAlignment="1" applyFont="1">
      <alignment readingOrder="0" shrinkToFit="0" vertical="bottom" wrapText="1"/>
    </xf>
    <xf borderId="0" fillId="0" fontId="4" numFmtId="164" xfId="0" applyAlignment="1" applyFont="1" applyNumberFormat="1">
      <alignment readingOrder="0" shrinkToFit="0" vertical="center" wrapText="1"/>
    </xf>
    <xf borderId="0" fillId="0" fontId="3" numFmtId="0" xfId="0" applyAlignment="1" applyFont="1">
      <alignment horizontal="left" readingOrder="0" shrinkToFit="0" vertical="bottom" wrapText="1"/>
    </xf>
    <xf borderId="0" fillId="0" fontId="4" numFmtId="0" xfId="0" applyAlignment="1" applyFont="1">
      <alignment horizontal="left" readingOrder="0" shrinkToFit="0" vertical="center" wrapText="1"/>
    </xf>
    <xf borderId="0" fillId="0" fontId="3" numFmtId="0" xfId="0" applyAlignment="1" applyFont="1">
      <alignment horizontal="left" readingOrder="0" shrinkToFit="0" vertical="center" wrapText="1"/>
    </xf>
    <xf borderId="0" fillId="0" fontId="3" numFmtId="0" xfId="0" applyAlignment="1" applyFont="1">
      <alignment horizontal="left" readingOrder="0" shrinkToFit="0" vertical="bottom" wrapText="0"/>
    </xf>
    <xf borderId="0" fillId="0" fontId="8" numFmtId="0" xfId="0" applyAlignment="1" applyFont="1">
      <alignment horizontal="left" readingOrder="0" shrinkToFit="0" vertical="center" wrapText="1"/>
    </xf>
    <xf borderId="0" fillId="0" fontId="2" numFmtId="0" xfId="0" applyAlignment="1" applyFont="1">
      <alignment horizontal="center" readingOrder="0" shrinkToFit="0" vertical="center" wrapText="1"/>
    </xf>
    <xf borderId="2" fillId="9" fontId="9" numFmtId="165" xfId="0" applyAlignment="1" applyBorder="1" applyFill="1" applyFont="1" applyNumberFormat="1">
      <alignment horizontal="center" readingOrder="0" shrinkToFit="0" vertical="bottom" wrapText="0"/>
    </xf>
    <xf borderId="2" fillId="3" fontId="2" numFmtId="0" xfId="0" applyAlignment="1" applyBorder="1" applyFont="1">
      <alignment horizontal="center" readingOrder="0" shrinkToFit="0" vertical="bottom" wrapText="0"/>
    </xf>
    <xf borderId="2" fillId="10" fontId="2" numFmtId="0" xfId="0" applyAlignment="1" applyBorder="1" applyFill="1" applyFont="1">
      <alignment horizontal="right" readingOrder="0" shrinkToFit="0" vertical="bottom" wrapText="0"/>
    </xf>
    <xf borderId="0" fillId="0" fontId="2" numFmtId="0" xfId="0" applyAlignment="1" applyFont="1">
      <alignment readingOrder="0" shrinkToFit="0" vertical="center" wrapText="1"/>
    </xf>
    <xf borderId="2" fillId="9" fontId="9" numFmtId="165" xfId="0" applyAlignment="1" applyBorder="1" applyFont="1" applyNumberFormat="1">
      <alignment horizontal="center" readingOrder="0" shrinkToFit="0" vertical="center" wrapText="1"/>
    </xf>
    <xf borderId="2" fillId="0" fontId="2" numFmtId="0" xfId="0" applyAlignment="1" applyBorder="1" applyFont="1">
      <alignment horizontal="center" readingOrder="0" shrinkToFit="0" vertical="bottom" wrapText="0"/>
    </xf>
    <xf borderId="0" fillId="0" fontId="2" numFmtId="0" xfId="0" applyAlignment="1" applyFont="1">
      <alignment horizontal="right" readingOrder="0" shrinkToFit="0" vertical="center" wrapText="1"/>
    </xf>
    <xf borderId="0" fillId="0" fontId="4" numFmtId="0" xfId="0" applyAlignment="1" applyFont="1">
      <alignment shrinkToFit="0" wrapText="1"/>
    </xf>
    <xf borderId="2" fillId="0" fontId="2" numFmtId="0" xfId="0" applyAlignment="1" applyBorder="1" applyFont="1">
      <alignment horizontal="center" readingOrder="0" shrinkToFit="0" vertical="bottom" wrapText="1"/>
    </xf>
    <xf borderId="2" fillId="0" fontId="4" numFmtId="0" xfId="0" applyAlignment="1" applyBorder="1" applyFont="1">
      <alignment horizontal="center" readingOrder="0" shrinkToFit="0" vertical="center" wrapText="0"/>
    </xf>
    <xf borderId="0" fillId="0" fontId="4" numFmtId="0" xfId="0" applyAlignment="1" applyFont="1">
      <alignment horizontal="right" shrinkToFit="0" vertical="center" wrapText="0"/>
    </xf>
    <xf borderId="2" fillId="0" fontId="4" numFmtId="0" xfId="0" applyAlignment="1" applyBorder="1" applyFont="1">
      <alignment readingOrder="0" shrinkToFit="0" vertical="center" wrapText="0"/>
    </xf>
    <xf borderId="2" fillId="0" fontId="4" numFmtId="0" xfId="0" applyAlignment="1" applyBorder="1" applyFont="1">
      <alignment shrinkToFit="0" vertical="center" wrapText="0"/>
    </xf>
    <xf borderId="0" fillId="3" fontId="10" numFmtId="0" xfId="0" applyAlignment="1" applyFont="1">
      <alignment readingOrder="0"/>
    </xf>
    <xf borderId="0" fillId="11" fontId="10" numFmtId="0" xfId="0" applyAlignment="1" applyFill="1" applyFont="1">
      <alignment readingOrder="0"/>
    </xf>
    <xf borderId="0" fillId="11" fontId="4" numFmtId="0" xfId="0" applyFont="1"/>
    <xf borderId="0" fillId="0" fontId="10" numFmtId="0" xfId="0" applyAlignment="1" applyFont="1">
      <alignment readingOrder="0"/>
    </xf>
    <xf borderId="0" fillId="0" fontId="3" numFmtId="0" xfId="0" applyAlignment="1" applyFont="1">
      <alignment horizontal="right" vertical="bottom"/>
    </xf>
    <xf borderId="0" fillId="0" fontId="3" numFmtId="164" xfId="0" applyAlignment="1" applyFont="1" applyNumberFormat="1">
      <alignment horizontal="right" readingOrder="0" vertical="bottom"/>
    </xf>
    <xf borderId="0" fillId="0" fontId="3" numFmtId="0" xfId="0" applyAlignment="1" applyFont="1">
      <alignment horizontal="right" readingOrder="0" vertical="bottom"/>
    </xf>
    <xf borderId="0" fillId="0" fontId="2" numFmtId="164" xfId="0" applyFont="1" applyNumberFormat="1"/>
    <xf borderId="0" fillId="0" fontId="3" numFmtId="164" xfId="0" applyAlignment="1" applyFont="1" applyNumberFormat="1">
      <alignment horizontal="right" vertical="bottom"/>
    </xf>
    <xf borderId="0" fillId="0" fontId="4" numFmtId="0" xfId="0" applyAlignment="1" applyFont="1">
      <alignment horizontal="right" readingOrder="0" shrinkToFit="0" wrapText="1"/>
    </xf>
    <xf borderId="0" fillId="0" fontId="3" numFmtId="0" xfId="0" applyAlignment="1" applyFont="1">
      <alignment horizontal="right" vertical="bottom"/>
    </xf>
    <xf borderId="0" fillId="0" fontId="4" numFmtId="0" xfId="0" applyAlignment="1" applyFont="1">
      <alignment horizontal="right" readingOrder="0"/>
    </xf>
    <xf borderId="0" fillId="3" fontId="2" numFmtId="0" xfId="0" applyAlignment="1" applyFont="1">
      <alignment horizontal="right" readingOrder="0" shrinkToFit="0" vertical="bottom" wrapText="1"/>
    </xf>
    <xf borderId="0" fillId="3" fontId="2" numFmtId="0" xfId="0" applyAlignment="1" applyFont="1">
      <alignment shrinkToFit="0" vertical="bottom" wrapText="1"/>
    </xf>
    <xf borderId="0" fillId="3" fontId="4" numFmtId="0" xfId="0" applyAlignment="1" applyFont="1">
      <alignment horizontal="right" readingOrder="0" shrinkToFit="0" wrapText="1"/>
    </xf>
    <xf borderId="0" fillId="3" fontId="3" numFmtId="164" xfId="0" applyAlignment="1" applyFont="1" applyNumberFormat="1">
      <alignment horizontal="right" vertical="bottom"/>
    </xf>
    <xf borderId="0" fillId="3" fontId="3" numFmtId="0" xfId="0" applyAlignment="1" applyFont="1">
      <alignment horizontal="right" vertical="bottom"/>
    </xf>
    <xf borderId="0" fillId="3" fontId="3" numFmtId="0" xfId="0" applyAlignment="1" applyFont="1">
      <alignment horizontal="right" readingOrder="0" vertical="bottom"/>
    </xf>
    <xf borderId="0" fillId="3" fontId="4" numFmtId="0" xfId="0" applyAlignment="1" applyFont="1">
      <alignment horizontal="right"/>
    </xf>
    <xf borderId="0" fillId="0" fontId="4" numFmtId="0" xfId="0" applyAlignment="1" applyFont="1">
      <alignment horizontal="left" readingOrder="0" shrinkToFit="0" vertical="center" wrapText="1"/>
    </xf>
    <xf borderId="0" fillId="0" fontId="4" numFmtId="0" xfId="0" applyAlignment="1" applyFont="1">
      <alignment shrinkToFit="0" vertical="center" wrapText="0"/>
    </xf>
  </cellXfs>
  <cellStyles count="1">
    <cellStyle xfId="0" name="Normal" builtinId="0"/>
  </cellStyles>
  <dxfs count="10">
    <dxf>
      <font/>
      <fill>
        <patternFill patternType="none"/>
      </fill>
      <border/>
    </dxf>
    <dxf>
      <font/>
      <fill>
        <patternFill patternType="solid">
          <fgColor rgb="FF356854"/>
          <bgColor rgb="FF356854"/>
        </patternFill>
      </fill>
      <border/>
    </dxf>
    <dxf>
      <font/>
      <fill>
        <patternFill patternType="solid">
          <fgColor rgb="FFFFFFFF"/>
          <bgColor rgb="FFFFFFFF"/>
        </patternFill>
      </fill>
      <border/>
    </dxf>
    <dxf>
      <font/>
      <fill>
        <patternFill patternType="solid">
          <fgColor rgb="FFF6F8F9"/>
          <bgColor rgb="FFF6F8F9"/>
        </patternFill>
      </fill>
      <border/>
    </dxf>
    <dxf>
      <border>
        <left style="thin">
          <color rgb="FF356854"/>
        </left>
        <right style="thin">
          <color rgb="FF356854"/>
        </right>
        <top style="thin">
          <color rgb="FF356854"/>
        </top>
        <bottom style="thin">
          <color rgb="FF356854"/>
        </bottom>
      </border>
    </dxf>
    <dxf>
      <font/>
      <fill>
        <patternFill patternType="solid">
          <fgColor rgb="FF373F6B"/>
          <bgColor rgb="FF373F6B"/>
        </patternFill>
      </fill>
      <border/>
    </dxf>
    <dxf>
      <font/>
      <fill>
        <patternFill patternType="solid">
          <fgColor rgb="FF49564C"/>
          <bgColor rgb="FF49564C"/>
        </patternFill>
      </fill>
      <border/>
    </dxf>
    <dxf>
      <font/>
      <fill>
        <patternFill patternType="solid">
          <fgColor rgb="FF5B3F86"/>
          <bgColor rgb="FF5B3F86"/>
        </patternFill>
      </fill>
      <border/>
    </dxf>
    <dxf>
      <font/>
      <fill>
        <patternFill patternType="solid">
          <fgColor rgb="FF9B3675"/>
          <bgColor rgb="FF9B3675"/>
        </patternFill>
      </fill>
      <border/>
    </dxf>
    <dxf>
      <font/>
      <fill>
        <patternFill patternType="solid">
          <fgColor rgb="FF9B3642"/>
          <bgColor rgb="FF9B3642"/>
        </patternFill>
      </fill>
      <border/>
    </dxf>
  </dxfs>
  <tableStyles count="14">
    <tableStyle count="4" pivot="0" name="Hoja 1-style">
      <tableStyleElement dxfId="1" type="headerRow"/>
      <tableStyleElement dxfId="2" type="firstRowStripe"/>
      <tableStyleElement dxfId="3" type="secondRowStripe"/>
      <tableStyleElement dxfId="4" size="0" type="wholeTable"/>
    </tableStyle>
    <tableStyle count="2" pivot="0" name="Hoja 1-style 2">
      <tableStyleElement dxfId="2" type="firstRowStripe"/>
      <tableStyleElement dxfId="3" type="secondRowStripe"/>
    </tableStyle>
    <tableStyle count="4" pivot="0" name="Hoja 1-style 3">
      <tableStyleElement dxfId="5" type="headerRow"/>
      <tableStyleElement dxfId="2" type="firstRowStripe"/>
      <tableStyleElement dxfId="3" type="secondRowStripe"/>
      <tableStyleElement dxfId="4" size="0" type="wholeTable"/>
    </tableStyle>
    <tableStyle count="2" pivot="0" name="Hoja 1-style 4">
      <tableStyleElement dxfId="2" type="firstRowStripe"/>
      <tableStyleElement dxfId="3" type="secondRowStripe"/>
    </tableStyle>
    <tableStyle count="4" pivot="0" name="Hoja 1-style 5">
      <tableStyleElement dxfId="6" type="headerRow"/>
      <tableStyleElement dxfId="2" type="firstRowStripe"/>
      <tableStyleElement dxfId="3" type="secondRowStripe"/>
      <tableStyleElement dxfId="4" size="0" type="wholeTable"/>
    </tableStyle>
    <tableStyle count="2" pivot="0" name="Hoja 1-style 6">
      <tableStyleElement dxfId="3" type="firstRowStripe"/>
      <tableStyleElement dxfId="2" type="secondRowStripe"/>
    </tableStyle>
    <tableStyle count="4" pivot="0" name="Hoja 1-style 7">
      <tableStyleElement dxfId="7" type="headerRow"/>
      <tableStyleElement dxfId="2" type="firstRowStripe"/>
      <tableStyleElement dxfId="3" type="secondRowStripe"/>
      <tableStyleElement dxfId="4" size="0" type="wholeTable"/>
    </tableStyle>
    <tableStyle count="4" pivot="0" name="Hoja 1-style 8">
      <tableStyleElement dxfId="8" type="headerRow"/>
      <tableStyleElement dxfId="2" type="firstRowStripe"/>
      <tableStyleElement dxfId="3" type="secondRowStripe"/>
      <tableStyleElement dxfId="4" size="0" type="wholeTable"/>
    </tableStyle>
    <tableStyle count="4" pivot="0" name="Hoja 1-style 9">
      <tableStyleElement dxfId="7" type="headerRow"/>
      <tableStyleElement dxfId="2" type="firstRowStripe"/>
      <tableStyleElement dxfId="3" type="secondRowStripe"/>
      <tableStyleElement dxfId="4" size="0" type="wholeTable"/>
    </tableStyle>
    <tableStyle count="2" pivot="0" name="Hoja 1-style 10">
      <tableStyleElement dxfId="2" type="firstRowStripe"/>
      <tableStyleElement dxfId="3" type="secondRowStripe"/>
    </tableStyle>
    <tableStyle count="2" pivot="0" name="Hoja 1-style 11">
      <tableStyleElement dxfId="3" type="firstRowStripe"/>
      <tableStyleElement dxfId="2" type="secondRowStripe"/>
    </tableStyle>
    <tableStyle count="3" pivot="0" name="Hoja 1-style 12">
      <tableStyleElement dxfId="9" type="headerRow"/>
      <tableStyleElement dxfId="2" type="firstRowStripe"/>
      <tableStyleElement dxfId="3" type="secondRowStripe"/>
    </tableStyle>
    <tableStyle count="2" pivot="0" name="Hoja 1-style 13">
      <tableStyleElement dxfId="2" type="firstRowStripe"/>
      <tableStyleElement dxfId="3" type="secondRowStripe"/>
    </tableStyle>
    <tableStyle count="4" pivot="0" name="Hoja 2-style">
      <tableStyleElement dxfId="1" type="headerRow"/>
      <tableStyleElement dxfId="2" type="firstRowStripe"/>
      <tableStyleElement dxfId="3" type="secondRowStripe"/>
      <tableStyleElement dxfId="4" size="0" type="wholeTable"/>
    </tableStyle>
  </tableStyles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/Relationships>
</file>

<file path=xl/drawings/_rels/drawing1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0</xdr:col>
      <xdr:colOff>21269325</xdr:colOff>
      <xdr:row>1</xdr:row>
      <xdr:rowOff>-200025</xdr:rowOff>
    </xdr:from>
    <xdr:ext cx="9886950" cy="10201275"/>
    <xdr:pic>
      <xdr:nvPicPr>
        <xdr:cNvPr id="0" name="image1.png" title="Imagen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ables/table1.xml><?xml version="1.0" encoding="utf-8"?>
<table xmlns="http://schemas.openxmlformats.org/spreadsheetml/2006/main" ref="A5:K82" displayName="Iteracion_1" name="Iteracion_1" id="1">
  <tableColumns count="11">
    <tableColumn name="Column 1" id="1"/>
    <tableColumn name="Descripción" id="2"/>
    <tableColumn name="Responbable" id="3"/>
    <tableColumn name="Estado" id="4"/>
    <tableColumn name="Horas Planeadas" id="5"/>
    <tableColumn name="Fecha Planeada" id="6"/>
    <tableColumn name="Valor Planeado" id="7"/>
    <tableColumn name="Valor Acumulado" id="8"/>
    <tableColumn name="Horas Reales" id="9"/>
    <tableColumn name="Fecha Real" id="10"/>
    <tableColumn name="Valor Acumulado Real" id="11"/>
  </tableColumns>
  <tableStyleInfo name="Hoja 1-style" showColumnStripes="0" showFirstColumn="1" showLastColumn="1" showRowStripes="1"/>
</table>
</file>

<file path=xl/tables/table2.xml><?xml version="1.0" encoding="utf-8"?>
<table xmlns="http://schemas.openxmlformats.org/spreadsheetml/2006/main" headerRowCount="0" ref="M11:M13" displayName="Table_1" name="Table_1" id="2">
  <tableColumns count="1">
    <tableColumn name="Column1" id="1"/>
  </tableColumns>
  <tableStyleInfo name="Hoja 1-style 2" showColumnStripes="0" showFirstColumn="1" showLastColumn="1" showRowStripes="1"/>
</table>
</file>

<file path=xl/tables/table3.xml><?xml version="1.0" encoding="utf-8"?>
<table xmlns="http://schemas.openxmlformats.org/spreadsheetml/2006/main" ref="O38:T44" displayName="Tabla_1" name="Tabla_1" id="3">
  <tableColumns count="6">
    <tableColumn name="Riesgo" id="1"/>
    <tableColumn name="Descripción" id="2"/>
    <tableColumn name="Probabilidad" id="3"/>
    <tableColumn name="Impacto" id="4"/>
    <tableColumn name="Plan de contención" id="5"/>
    <tableColumn name="Estado del riesgo" id="6"/>
  </tableColumns>
  <tableStyleInfo name="Hoja 1-style 3" showColumnStripes="0" showFirstColumn="1" showLastColumn="1" showRowStripes="1"/>
</table>
</file>

<file path=xl/tables/table4.xml><?xml version="1.0" encoding="utf-8"?>
<table xmlns="http://schemas.openxmlformats.org/spreadsheetml/2006/main" headerRowCount="0" ref="O46:P49" displayName="Table_2" name="Table_2" id="4">
  <tableColumns count="2">
    <tableColumn name="Column1" id="1"/>
    <tableColumn name="Column2" id="2"/>
  </tableColumns>
  <tableStyleInfo name="Hoja 1-style 4" showColumnStripes="0" showFirstColumn="1" showLastColumn="1" showRowStripes="1"/>
</table>
</file>

<file path=xl/tables/table5.xml><?xml version="1.0" encoding="utf-8"?>
<table xmlns="http://schemas.openxmlformats.org/spreadsheetml/2006/main" ref="S47:T53" displayName="Tabla_2" name="Tabla_2" id="5">
  <tableColumns count="2">
    <tableColumn name="Hitos" id="1"/>
    <tableColumn name="Fecha" id="2"/>
  </tableColumns>
  <tableStyleInfo name="Hoja 1-style 5" showColumnStripes="0" showFirstColumn="1" showLastColumn="1" showRowStripes="1"/>
</table>
</file>

<file path=xl/tables/table6.xml><?xml version="1.0" encoding="utf-8"?>
<table xmlns="http://schemas.openxmlformats.org/spreadsheetml/2006/main" headerRowCount="0" ref="M57:U79" displayName="Table_3" name="Table_3" id="6">
  <tableColumns count="9">
    <tableColumn name="Column1" id="1"/>
    <tableColumn name="Column2" id="2"/>
    <tableColumn name="Column3" id="3"/>
    <tableColumn name="Column4" id="4"/>
    <tableColumn name="Column5" id="5"/>
    <tableColumn name="Column6" id="6"/>
    <tableColumn name="Column7" id="7"/>
    <tableColumn name="Column8" id="8"/>
    <tableColumn name="Column9" id="9"/>
  </tableColumns>
  <tableStyleInfo name="Hoja 1-style 6" showColumnStripes="0" showFirstColumn="1" showLastColumn="1" showRowStripes="1"/>
</table>
</file>

<file path=xl/tables/table7.xml><?xml version="1.0" encoding="utf-8"?>
<table xmlns="http://schemas.openxmlformats.org/spreadsheetml/2006/main" ref="A88:G92" displayName="Horas_Disponbles_por_Miembros" name="Horas_Disponbles_por_Miembros" id="7">
  <tableColumns count="7">
    <tableColumn name="Miembros del equipo" id="1"/>
    <tableColumn name="Horas reales distribuidas" id="2"/>
    <tableColumn name="Lunes" id="3"/>
    <tableColumn name="Martes" id="4"/>
    <tableColumn name="Miercoles" id="5"/>
    <tableColumn name="Jueves" id="6"/>
    <tableColumn name="Viernes" id="7"/>
  </tableColumns>
  <tableStyleInfo name="Hoja 1-style 7" showColumnStripes="0" showFirstColumn="1" showLastColumn="1" showRowStripes="1"/>
</table>
</file>

<file path=xl/tables/table8.xml><?xml version="1.0" encoding="utf-8"?>
<table xmlns="http://schemas.openxmlformats.org/spreadsheetml/2006/main" ref="I88:N101" displayName="Horas_por_fecha" name="Horas_por_fecha" id="8">
  <tableColumns count="6">
    <tableColumn name="Fecha" id="1"/>
    <tableColumn name="Horas Antonio" id="2"/>
    <tableColumn name="Horas Seb" id="3"/>
    <tableColumn name="Horas Mayela" id="4"/>
    <tableColumn name="Horas Angel" id="5"/>
    <tableColumn name="Horas acumuladas disponibles de TODOS los integrantes del equipo" id="6"/>
  </tableColumns>
  <tableStyleInfo name="Hoja 1-style 8" showColumnStripes="0" showFirstColumn="1" showLastColumn="1" showRowStripes="1"/>
</table>
</file>

<file path=xl/tables/table9.xml><?xml version="1.0" encoding="utf-8"?>
<table xmlns="http://schemas.openxmlformats.org/spreadsheetml/2006/main" ref="B95:D100" displayName="Horas_por_Miembros" name="Horas_por_Miembros" id="9">
  <tableColumns count="3">
    <tableColumn name="Miembros del equipo" id="1"/>
    <tableColumn name="Horas planeadas" id="2"/>
    <tableColumn name="Horas reales" id="3"/>
  </tableColumns>
  <tableStyleInfo name="Hoja 1-style 9" showColumnStripes="0" showFirstColumn="1" showLastColumn="1" showRowStripes="1"/>
</table>
</file>

<file path=xl/tables/table10.xml><?xml version="1.0" encoding="utf-8"?>
<table xmlns="http://schemas.openxmlformats.org/spreadsheetml/2006/main" headerRowCount="0" ref="C104:C308" displayName="Table_4" name="Table_4" id="10">
  <tableColumns count="1">
    <tableColumn name="Column1" id="1"/>
  </tableColumns>
  <tableStyleInfo name="Hoja 1-style 10" showColumnStripes="0" showFirstColumn="1" showLastColumn="1" showRowStripes="1"/>
</table>
</file>

<file path=xl/tables/table11.xml><?xml version="1.0" encoding="utf-8"?>
<table xmlns="http://schemas.openxmlformats.org/spreadsheetml/2006/main" headerRowCount="0" ref="B107:B114" displayName="Table_5" name="Table_5" id="11">
  <tableColumns count="1">
    <tableColumn name="Column1" id="1"/>
  </tableColumns>
  <tableStyleInfo name="Hoja 1-style 11" showColumnStripes="0" showFirstColumn="1" showLastColumn="1" showRowStripes="1"/>
</table>
</file>

<file path=xl/tables/table12.xml><?xml version="1.0" encoding="utf-8"?>
<table xmlns="http://schemas.openxmlformats.org/spreadsheetml/2006/main" headerRowCount="0" ref="M107:O115" displayName="Table_6" name="Table_6" id="12">
  <tableColumns count="3">
    <tableColumn name="Column1" id="1"/>
    <tableColumn name="Column2" id="2"/>
    <tableColumn name="Column3" id="3"/>
  </tableColumns>
  <tableStyleInfo name="Hoja 1-style 12" showColumnStripes="0" showFirstColumn="1" showLastColumn="1" showRowStripes="1"/>
  <extLst>
    <ext uri="GoogleSheetsCustomDataVersion1">
      <go:sheetsCustomData xmlns:go="http://customooxmlschemas.google.com/" headerRowCount="1"/>
    </ext>
  </extLst>
</table>
</file>

<file path=xl/tables/table13.xml><?xml version="1.0" encoding="utf-8"?>
<table xmlns="http://schemas.openxmlformats.org/spreadsheetml/2006/main" headerRowCount="0" ref="B198:B281" displayName="Table_7" name="Table_7" id="13">
  <tableColumns count="1">
    <tableColumn name="Column1" id="1"/>
  </tableColumns>
  <tableStyleInfo name="Hoja 1-style 13" showColumnStripes="0" showFirstColumn="1" showLastColumn="1" showRowStripes="1"/>
</table>
</file>

<file path=xl/tables/table14.xml><?xml version="1.0" encoding="utf-8"?>
<table xmlns="http://schemas.openxmlformats.org/spreadsheetml/2006/main" ref="A1:F15" displayName="Tabla_3" name="Tabla_3" id="14">
  <tableColumns count="6">
    <tableColumn name="Columna 1" id="1"/>
    <tableColumn name="Columna 2" id="2"/>
    <tableColumn name="Columna 3" id="3"/>
    <tableColumn name="Columna 4" id="4"/>
    <tableColumn name="Columna 5" id="5"/>
    <tableColumn name="Columna 6" id="6"/>
  </tableColumns>
  <tableStyleInfo name="Hoja 2-style" showColumnStripes="0" showFirstColumn="1" showLastColumn="1" showRowStripes="1"/>
</table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20" Type="http://schemas.openxmlformats.org/officeDocument/2006/relationships/table" Target="../tables/table6.xml"/><Relationship Id="rId22" Type="http://schemas.openxmlformats.org/officeDocument/2006/relationships/table" Target="../tables/table8.xml"/><Relationship Id="rId21" Type="http://schemas.openxmlformats.org/officeDocument/2006/relationships/table" Target="../tables/table7.xml"/><Relationship Id="rId24" Type="http://schemas.openxmlformats.org/officeDocument/2006/relationships/table" Target="../tables/table10.xml"/><Relationship Id="rId23" Type="http://schemas.openxmlformats.org/officeDocument/2006/relationships/table" Target="../tables/table9.xml"/><Relationship Id="rId1" Type="http://schemas.openxmlformats.org/officeDocument/2006/relationships/drawing" Target="../drawings/drawing1.xml"/><Relationship Id="rId15" Type="http://schemas.openxmlformats.org/officeDocument/2006/relationships/table" Target="../tables/table1.xml"/><Relationship Id="rId26" Type="http://schemas.openxmlformats.org/officeDocument/2006/relationships/table" Target="../tables/table12.xml"/><Relationship Id="rId25" Type="http://schemas.openxmlformats.org/officeDocument/2006/relationships/table" Target="../tables/table11.xml"/><Relationship Id="rId17" Type="http://schemas.openxmlformats.org/officeDocument/2006/relationships/table" Target="../tables/table3.xml"/><Relationship Id="rId16" Type="http://schemas.openxmlformats.org/officeDocument/2006/relationships/table" Target="../tables/table2.xml"/><Relationship Id="rId27" Type="http://schemas.openxmlformats.org/officeDocument/2006/relationships/table" Target="../tables/table13.xml"/><Relationship Id="rId19" Type="http://schemas.openxmlformats.org/officeDocument/2006/relationships/table" Target="../tables/table5.xml"/><Relationship Id="rId18" Type="http://schemas.openxmlformats.org/officeDocument/2006/relationships/table" Target="../tables/table4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Relationship Id="rId3" Type="http://schemas.openxmlformats.org/officeDocument/2006/relationships/table" Target="../tables/table14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24.5"/>
    <col customWidth="1" min="2" max="2" width="62.5"/>
    <col customWidth="1" min="3" max="3" width="20.38"/>
    <col customWidth="1" min="4" max="4" width="14.38"/>
    <col customWidth="1" min="5" max="5" width="13.5"/>
    <col customWidth="1" min="8" max="8" width="15.25"/>
    <col customWidth="1" min="9" max="9" width="13.38"/>
    <col customWidth="1" min="10" max="10" width="20.13"/>
    <col customWidth="1" min="11" max="11" width="15.0"/>
    <col customWidth="1" min="13" max="13" width="23.75"/>
    <col customWidth="1" min="14" max="14" width="20.25"/>
    <col customWidth="1" min="15" max="15" width="36.5"/>
    <col customWidth="1" min="16" max="16" width="20.63"/>
    <col customWidth="1" min="17" max="17" width="35.63"/>
    <col customWidth="1" min="18" max="18" width="48.63"/>
    <col customWidth="1" min="19" max="19" width="25.13"/>
    <col customWidth="1" min="20" max="20" width="70.88"/>
    <col customWidth="1" min="21" max="21" width="22.25"/>
  </cols>
  <sheetData>
    <row r="1">
      <c r="A1" s="1" t="s">
        <v>0</v>
      </c>
      <c r="N1" s="2"/>
    </row>
    <row r="2">
      <c r="A2" s="3" t="s">
        <v>1</v>
      </c>
      <c r="B2" s="4">
        <v>45796.0</v>
      </c>
      <c r="D2" s="5"/>
      <c r="E2" s="6"/>
      <c r="F2" s="5"/>
      <c r="G2" s="5"/>
      <c r="H2" s="5"/>
      <c r="I2" s="5"/>
      <c r="J2" s="5"/>
      <c r="K2" s="5"/>
      <c r="L2" s="5"/>
      <c r="M2" s="5"/>
      <c r="N2" s="5"/>
    </row>
    <row r="3">
      <c r="A3" s="3" t="s">
        <v>2</v>
      </c>
      <c r="B3" s="4">
        <v>45812.0</v>
      </c>
      <c r="D3" s="5"/>
      <c r="E3" s="6"/>
      <c r="F3" s="5"/>
      <c r="G3" s="5"/>
      <c r="H3" s="5"/>
      <c r="I3" s="5"/>
      <c r="J3" s="5"/>
      <c r="K3" s="5"/>
      <c r="L3" s="5"/>
      <c r="M3" s="5"/>
      <c r="N3" s="5"/>
    </row>
    <row r="4">
      <c r="A4" s="7"/>
      <c r="B4" s="7"/>
      <c r="C4" s="7"/>
      <c r="D4" s="7"/>
      <c r="E4" s="7"/>
      <c r="F4" s="7"/>
      <c r="G4" s="7"/>
      <c r="H4" s="7"/>
      <c r="I4" s="7"/>
      <c r="J4" s="7"/>
      <c r="K4" s="7"/>
      <c r="L4" s="7"/>
      <c r="M4" s="7"/>
      <c r="N4" s="7"/>
    </row>
    <row r="5" ht="22.5" customHeight="1">
      <c r="A5" s="8" t="s">
        <v>3</v>
      </c>
      <c r="B5" s="8" t="s">
        <v>4</v>
      </c>
      <c r="C5" s="8" t="s">
        <v>5</v>
      </c>
      <c r="D5" s="8" t="s">
        <v>6</v>
      </c>
      <c r="E5" s="8" t="s">
        <v>7</v>
      </c>
      <c r="F5" s="8" t="s">
        <v>8</v>
      </c>
      <c r="G5" s="8" t="s">
        <v>9</v>
      </c>
      <c r="H5" s="8" t="s">
        <v>10</v>
      </c>
      <c r="I5" s="8" t="s">
        <v>11</v>
      </c>
      <c r="J5" s="8" t="s">
        <v>12</v>
      </c>
      <c r="K5" s="8" t="s">
        <v>13</v>
      </c>
    </row>
    <row r="6" ht="22.5" customHeight="1">
      <c r="A6" s="9" t="s">
        <v>14</v>
      </c>
      <c r="B6" s="10" t="s">
        <v>15</v>
      </c>
      <c r="C6" s="11" t="s">
        <v>16</v>
      </c>
      <c r="D6" s="3" t="s">
        <v>17</v>
      </c>
      <c r="E6" s="12">
        <v>0.5</v>
      </c>
      <c r="F6" s="13">
        <v>45796.0</v>
      </c>
      <c r="G6" s="14">
        <f t="shared" ref="G6:G80" si="1">E6/$E$82*100</f>
        <v>0.4748338082</v>
      </c>
      <c r="H6" s="10">
        <f>G6</f>
        <v>0.4748338082</v>
      </c>
      <c r="I6" s="10">
        <v>0.5</v>
      </c>
      <c r="J6" s="13">
        <v>45796.0</v>
      </c>
      <c r="K6" s="15">
        <v>0.47483380816714155</v>
      </c>
    </row>
    <row r="7" ht="22.5" customHeight="1">
      <c r="A7" s="9"/>
      <c r="B7" s="9" t="s">
        <v>18</v>
      </c>
      <c r="C7" s="11" t="s">
        <v>16</v>
      </c>
      <c r="D7" s="3" t="s">
        <v>17</v>
      </c>
      <c r="E7" s="16">
        <v>0.5</v>
      </c>
      <c r="F7" s="13">
        <v>45796.0</v>
      </c>
      <c r="G7" s="14">
        <f t="shared" si="1"/>
        <v>0.4748338082</v>
      </c>
      <c r="H7" s="17">
        <f t="shared" ref="H7:H80" si="2">G7+H6</f>
        <v>0.9496676163</v>
      </c>
      <c r="I7" s="10">
        <v>0.5</v>
      </c>
      <c r="J7" s="13">
        <v>45796.0</v>
      </c>
      <c r="K7" s="18">
        <v>0.9496676163342831</v>
      </c>
    </row>
    <row r="8" ht="22.5" customHeight="1">
      <c r="A8" s="9"/>
      <c r="B8" s="10" t="s">
        <v>19</v>
      </c>
      <c r="C8" s="11" t="s">
        <v>20</v>
      </c>
      <c r="D8" s="3" t="s">
        <v>17</v>
      </c>
      <c r="E8" s="12">
        <v>0.5</v>
      </c>
      <c r="F8" s="13">
        <v>45796.0</v>
      </c>
      <c r="G8" s="14">
        <f t="shared" si="1"/>
        <v>0.4748338082</v>
      </c>
      <c r="H8" s="17">
        <f t="shared" si="2"/>
        <v>1.424501425</v>
      </c>
      <c r="I8" s="10">
        <v>0.5</v>
      </c>
      <c r="J8" s="13">
        <v>45796.0</v>
      </c>
      <c r="K8" s="19">
        <v>1.4245014245014247</v>
      </c>
    </row>
    <row r="9" ht="22.5" customHeight="1">
      <c r="A9" s="9"/>
      <c r="B9" s="9" t="s">
        <v>21</v>
      </c>
      <c r="C9" s="11" t="s">
        <v>20</v>
      </c>
      <c r="D9" s="3" t="s">
        <v>17</v>
      </c>
      <c r="E9" s="16">
        <v>0.5</v>
      </c>
      <c r="F9" s="13">
        <v>45796.0</v>
      </c>
      <c r="G9" s="14">
        <f t="shared" si="1"/>
        <v>0.4748338082</v>
      </c>
      <c r="H9" s="17">
        <f t="shared" si="2"/>
        <v>1.899335233</v>
      </c>
      <c r="I9" s="10">
        <v>0.5</v>
      </c>
      <c r="J9" s="13">
        <v>45796.0</v>
      </c>
      <c r="K9" s="18">
        <v>1.8993352326685662</v>
      </c>
    </row>
    <row r="10" ht="22.5" customHeight="1">
      <c r="A10" s="9"/>
      <c r="B10" s="10" t="s">
        <v>22</v>
      </c>
      <c r="C10" s="11" t="s">
        <v>23</v>
      </c>
      <c r="D10" s="3" t="s">
        <v>17</v>
      </c>
      <c r="E10" s="12">
        <v>0.5</v>
      </c>
      <c r="F10" s="13">
        <v>45796.0</v>
      </c>
      <c r="G10" s="14">
        <f t="shared" si="1"/>
        <v>0.4748338082</v>
      </c>
      <c r="H10" s="17">
        <f t="shared" si="2"/>
        <v>2.374169041</v>
      </c>
      <c r="I10" s="10">
        <v>0.5</v>
      </c>
      <c r="J10" s="13">
        <v>45796.0</v>
      </c>
      <c r="K10" s="19">
        <v>2.374169040835708</v>
      </c>
      <c r="M10" s="20"/>
    </row>
    <row r="11" ht="22.5" customHeight="1">
      <c r="A11" s="9"/>
      <c r="B11" s="9" t="s">
        <v>24</v>
      </c>
      <c r="C11" s="11" t="s">
        <v>23</v>
      </c>
      <c r="D11" s="3" t="s">
        <v>17</v>
      </c>
      <c r="E11" s="16">
        <v>0.5</v>
      </c>
      <c r="F11" s="13">
        <v>45796.0</v>
      </c>
      <c r="G11" s="14">
        <f t="shared" si="1"/>
        <v>0.4748338082</v>
      </c>
      <c r="H11" s="17">
        <f t="shared" si="2"/>
        <v>2.849002849</v>
      </c>
      <c r="I11" s="10">
        <v>0.5</v>
      </c>
      <c r="J11" s="13">
        <v>45796.0</v>
      </c>
      <c r="K11" s="18">
        <v>2.8490028490028494</v>
      </c>
      <c r="M11" s="20"/>
    </row>
    <row r="12" ht="22.5" customHeight="1">
      <c r="A12" s="9"/>
      <c r="B12" s="10" t="s">
        <v>25</v>
      </c>
      <c r="C12" s="11" t="s">
        <v>26</v>
      </c>
      <c r="D12" s="3" t="s">
        <v>17</v>
      </c>
      <c r="E12" s="12">
        <v>0.5</v>
      </c>
      <c r="F12" s="13">
        <v>45796.0</v>
      </c>
      <c r="G12" s="14">
        <f t="shared" si="1"/>
        <v>0.4748338082</v>
      </c>
      <c r="H12" s="17">
        <f t="shared" si="2"/>
        <v>3.323836657</v>
      </c>
      <c r="I12" s="10">
        <v>0.5</v>
      </c>
      <c r="J12" s="13">
        <v>45796.0</v>
      </c>
      <c r="K12" s="19">
        <v>3.323836657169991</v>
      </c>
      <c r="M12" s="20"/>
    </row>
    <row r="13" ht="22.5" customHeight="1">
      <c r="A13" s="9"/>
      <c r="B13" s="9" t="s">
        <v>27</v>
      </c>
      <c r="C13" s="11" t="s">
        <v>26</v>
      </c>
      <c r="D13" s="3" t="s">
        <v>17</v>
      </c>
      <c r="E13" s="16">
        <v>0.5</v>
      </c>
      <c r="F13" s="13">
        <v>45796.0</v>
      </c>
      <c r="G13" s="14">
        <f t="shared" si="1"/>
        <v>0.4748338082</v>
      </c>
      <c r="H13" s="17">
        <f t="shared" si="2"/>
        <v>3.798670465</v>
      </c>
      <c r="I13" s="10">
        <v>0.5</v>
      </c>
      <c r="J13" s="13">
        <v>45796.0</v>
      </c>
      <c r="K13" s="18">
        <v>3.7986704653371324</v>
      </c>
      <c r="M13" s="21"/>
    </row>
    <row r="14" ht="22.5" customHeight="1">
      <c r="A14" s="9"/>
      <c r="B14" s="22" t="s">
        <v>28</v>
      </c>
      <c r="C14" s="23" t="s">
        <v>29</v>
      </c>
      <c r="D14" s="3" t="s">
        <v>17</v>
      </c>
      <c r="E14" s="16">
        <v>3.0</v>
      </c>
      <c r="F14" s="24">
        <v>45797.0</v>
      </c>
      <c r="G14" s="14">
        <f t="shared" si="1"/>
        <v>2.849002849</v>
      </c>
      <c r="H14" s="17">
        <f t="shared" si="2"/>
        <v>6.647673314</v>
      </c>
      <c r="I14" s="12">
        <v>1.5</v>
      </c>
      <c r="J14" s="24">
        <v>45797.0</v>
      </c>
      <c r="K14" s="19">
        <v>6.647673314339982</v>
      </c>
    </row>
    <row r="15" ht="22.5" customHeight="1">
      <c r="A15" s="25"/>
      <c r="B15" s="22" t="s">
        <v>30</v>
      </c>
      <c r="C15" s="23" t="s">
        <v>31</v>
      </c>
      <c r="D15" s="3" t="s">
        <v>17</v>
      </c>
      <c r="E15" s="16">
        <v>0.5</v>
      </c>
      <c r="F15" s="24">
        <v>45797.0</v>
      </c>
      <c r="G15" s="14">
        <f t="shared" si="1"/>
        <v>0.4748338082</v>
      </c>
      <c r="H15" s="17">
        <f t="shared" si="2"/>
        <v>7.122507123</v>
      </c>
      <c r="I15" s="16">
        <v>0.5</v>
      </c>
      <c r="J15" s="24">
        <v>45797.0</v>
      </c>
      <c r="K15" s="18">
        <v>7.122507122507123</v>
      </c>
    </row>
    <row r="16" ht="22.5" customHeight="1">
      <c r="A16" s="25"/>
      <c r="B16" s="22" t="s">
        <v>32</v>
      </c>
      <c r="C16" s="23" t="s">
        <v>29</v>
      </c>
      <c r="D16" s="3" t="s">
        <v>17</v>
      </c>
      <c r="E16" s="16">
        <v>2.0</v>
      </c>
      <c r="F16" s="24">
        <v>45797.0</v>
      </c>
      <c r="G16" s="14">
        <f t="shared" si="1"/>
        <v>1.899335233</v>
      </c>
      <c r="H16" s="17">
        <f t="shared" si="2"/>
        <v>9.021842355</v>
      </c>
      <c r="I16" s="16">
        <v>2.0</v>
      </c>
      <c r="J16" s="24">
        <v>45797.0</v>
      </c>
      <c r="K16" s="19">
        <v>9.02184235517569</v>
      </c>
    </row>
    <row r="17" ht="22.5" customHeight="1">
      <c r="A17" s="25"/>
      <c r="B17" s="22" t="s">
        <v>33</v>
      </c>
      <c r="C17" s="9" t="s">
        <v>20</v>
      </c>
      <c r="D17" s="3" t="s">
        <v>17</v>
      </c>
      <c r="E17" s="16">
        <v>0.5</v>
      </c>
      <c r="F17" s="24">
        <v>45797.0</v>
      </c>
      <c r="G17" s="14">
        <f t="shared" si="1"/>
        <v>0.4748338082</v>
      </c>
      <c r="H17" s="17">
        <f t="shared" si="2"/>
        <v>9.496676163</v>
      </c>
      <c r="I17" s="16">
        <v>0.5</v>
      </c>
      <c r="J17" s="24">
        <v>45797.0</v>
      </c>
      <c r="K17" s="18">
        <v>9.496676163342832</v>
      </c>
    </row>
    <row r="18" ht="22.5" customHeight="1">
      <c r="A18" s="25"/>
      <c r="B18" s="22" t="s">
        <v>34</v>
      </c>
      <c r="C18" s="9" t="s">
        <v>26</v>
      </c>
      <c r="D18" s="3" t="s">
        <v>17</v>
      </c>
      <c r="E18" s="16">
        <v>0.5</v>
      </c>
      <c r="F18" s="24">
        <v>45797.0</v>
      </c>
      <c r="G18" s="14">
        <f t="shared" si="1"/>
        <v>0.4748338082</v>
      </c>
      <c r="H18" s="17">
        <f t="shared" si="2"/>
        <v>9.971509972</v>
      </c>
      <c r="I18" s="16">
        <v>0.5</v>
      </c>
      <c r="J18" s="24">
        <v>45797.0</v>
      </c>
      <c r="K18" s="19">
        <v>9.971509971509974</v>
      </c>
    </row>
    <row r="19" ht="22.5" customHeight="1">
      <c r="A19" s="9"/>
      <c r="B19" s="22" t="s">
        <v>35</v>
      </c>
      <c r="C19" s="9" t="s">
        <v>20</v>
      </c>
      <c r="D19" s="3" t="s">
        <v>17</v>
      </c>
      <c r="E19" s="16">
        <v>1.0</v>
      </c>
      <c r="F19" s="24">
        <v>45797.0</v>
      </c>
      <c r="G19" s="14">
        <f t="shared" si="1"/>
        <v>0.9496676163</v>
      </c>
      <c r="H19" s="17">
        <f t="shared" si="2"/>
        <v>10.92117759</v>
      </c>
      <c r="I19" s="12">
        <v>1.0</v>
      </c>
      <c r="J19" s="24">
        <v>45797.0</v>
      </c>
      <c r="K19" s="18">
        <v>10.921177587844257</v>
      </c>
    </row>
    <row r="20" ht="22.5" customHeight="1">
      <c r="A20" s="9" t="s">
        <v>36</v>
      </c>
      <c r="B20" s="22" t="s">
        <v>37</v>
      </c>
      <c r="C20" s="23" t="s">
        <v>26</v>
      </c>
      <c r="D20" s="3" t="s">
        <v>17</v>
      </c>
      <c r="E20" s="16">
        <v>0.5</v>
      </c>
      <c r="F20" s="24">
        <v>45797.0</v>
      </c>
      <c r="G20" s="14">
        <f t="shared" si="1"/>
        <v>0.4748338082</v>
      </c>
      <c r="H20" s="17">
        <f t="shared" si="2"/>
        <v>11.3960114</v>
      </c>
      <c r="I20" s="12">
        <v>0.5</v>
      </c>
      <c r="J20" s="24">
        <v>45797.0</v>
      </c>
      <c r="K20" s="19">
        <v>11.3960113960114</v>
      </c>
    </row>
    <row r="21" ht="22.5" customHeight="1">
      <c r="A21" s="9"/>
      <c r="B21" s="22" t="s">
        <v>38</v>
      </c>
      <c r="C21" s="23" t="s">
        <v>26</v>
      </c>
      <c r="D21" s="3" t="s">
        <v>17</v>
      </c>
      <c r="E21" s="12">
        <v>1.0</v>
      </c>
      <c r="F21" s="24">
        <v>45797.0</v>
      </c>
      <c r="G21" s="14">
        <f t="shared" si="1"/>
        <v>0.9496676163</v>
      </c>
      <c r="H21" s="17">
        <f t="shared" si="2"/>
        <v>12.34567901</v>
      </c>
      <c r="I21" s="12">
        <v>1.0</v>
      </c>
      <c r="J21" s="24">
        <v>45797.0</v>
      </c>
      <c r="K21" s="18">
        <v>12.345679012345682</v>
      </c>
    </row>
    <row r="22" ht="22.5" customHeight="1">
      <c r="A22" s="9"/>
      <c r="B22" s="22" t="s">
        <v>39</v>
      </c>
      <c r="C22" s="23" t="s">
        <v>26</v>
      </c>
      <c r="D22" s="3" t="s">
        <v>17</v>
      </c>
      <c r="E22" s="12">
        <v>1.0</v>
      </c>
      <c r="F22" s="24">
        <v>45797.0</v>
      </c>
      <c r="G22" s="14">
        <f t="shared" si="1"/>
        <v>0.9496676163</v>
      </c>
      <c r="H22" s="17">
        <f t="shared" si="2"/>
        <v>13.29534663</v>
      </c>
      <c r="I22" s="12">
        <v>1.0</v>
      </c>
      <c r="J22" s="24">
        <v>45797.0</v>
      </c>
      <c r="K22" s="19">
        <v>13.295346628679965</v>
      </c>
    </row>
    <row r="23" ht="22.5" customHeight="1">
      <c r="A23" s="25"/>
      <c r="B23" s="22" t="s">
        <v>40</v>
      </c>
      <c r="C23" s="11" t="s">
        <v>26</v>
      </c>
      <c r="D23" s="3" t="s">
        <v>17</v>
      </c>
      <c r="E23" s="9">
        <v>1.0</v>
      </c>
      <c r="F23" s="24">
        <v>45798.0</v>
      </c>
      <c r="G23" s="14">
        <f t="shared" si="1"/>
        <v>0.9496676163</v>
      </c>
      <c r="H23" s="17">
        <f t="shared" si="2"/>
        <v>14.24501425</v>
      </c>
      <c r="I23" s="9">
        <v>2.0</v>
      </c>
      <c r="J23" s="24">
        <v>45798.0</v>
      </c>
      <c r="K23" s="18">
        <v>14.245014245014248</v>
      </c>
    </row>
    <row r="24" ht="22.5" customHeight="1">
      <c r="A24" s="25"/>
      <c r="B24" s="22" t="s">
        <v>41</v>
      </c>
      <c r="C24" s="11" t="s">
        <v>26</v>
      </c>
      <c r="D24" s="3" t="s">
        <v>17</v>
      </c>
      <c r="E24" s="9">
        <v>0.5</v>
      </c>
      <c r="F24" s="24">
        <v>45798.0</v>
      </c>
      <c r="G24" s="14">
        <f t="shared" si="1"/>
        <v>0.4748338082</v>
      </c>
      <c r="H24" s="17">
        <f t="shared" si="2"/>
        <v>14.71984805</v>
      </c>
      <c r="I24" s="9">
        <v>1.0</v>
      </c>
      <c r="J24" s="24">
        <v>45798.0</v>
      </c>
      <c r="K24" s="19">
        <v>14.71984805318139</v>
      </c>
    </row>
    <row r="25" ht="22.5" customHeight="1">
      <c r="A25" s="25"/>
      <c r="B25" s="22" t="s">
        <v>42</v>
      </c>
      <c r="C25" s="11" t="s">
        <v>16</v>
      </c>
      <c r="D25" s="3" t="s">
        <v>17</v>
      </c>
      <c r="E25" s="16">
        <v>0.5</v>
      </c>
      <c r="F25" s="24">
        <v>45798.0</v>
      </c>
      <c r="G25" s="14">
        <f t="shared" si="1"/>
        <v>0.4748338082</v>
      </c>
      <c r="H25" s="17">
        <f t="shared" si="2"/>
        <v>15.19468186</v>
      </c>
      <c r="I25" s="16">
        <v>1.0</v>
      </c>
      <c r="J25" s="24">
        <v>45798.0</v>
      </c>
      <c r="K25" s="19">
        <v>15.194681861348533</v>
      </c>
    </row>
    <row r="26" ht="22.5" customHeight="1">
      <c r="A26" s="25"/>
      <c r="B26" s="22" t="s">
        <v>43</v>
      </c>
      <c r="C26" s="11" t="s">
        <v>16</v>
      </c>
      <c r="D26" s="3" t="s">
        <v>17</v>
      </c>
      <c r="E26" s="16">
        <v>0.2</v>
      </c>
      <c r="F26" s="24">
        <v>45798.0</v>
      </c>
      <c r="G26" s="14">
        <f t="shared" si="1"/>
        <v>0.1899335233</v>
      </c>
      <c r="H26" s="17">
        <f t="shared" si="2"/>
        <v>15.38461538</v>
      </c>
      <c r="I26" s="16">
        <v>0.5</v>
      </c>
      <c r="J26" s="24">
        <v>45798.0</v>
      </c>
      <c r="K26" s="19">
        <v>15.38461538461539</v>
      </c>
    </row>
    <row r="27" ht="22.5" customHeight="1">
      <c r="A27" s="25"/>
      <c r="B27" s="22" t="s">
        <v>44</v>
      </c>
      <c r="C27" s="11" t="s">
        <v>20</v>
      </c>
      <c r="D27" s="3" t="s">
        <v>17</v>
      </c>
      <c r="E27" s="16">
        <v>0.5</v>
      </c>
      <c r="F27" s="24">
        <v>45798.0</v>
      </c>
      <c r="G27" s="14">
        <f t="shared" si="1"/>
        <v>0.4748338082</v>
      </c>
      <c r="H27" s="17">
        <f t="shared" si="2"/>
        <v>15.85944919</v>
      </c>
      <c r="I27" s="16">
        <v>1.0</v>
      </c>
      <c r="J27" s="24">
        <v>45798.0</v>
      </c>
      <c r="K27" s="18">
        <v>15.859449192782533</v>
      </c>
    </row>
    <row r="28" ht="22.5" customHeight="1">
      <c r="A28" s="25"/>
      <c r="B28" s="22" t="s">
        <v>45</v>
      </c>
      <c r="C28" s="11" t="s">
        <v>20</v>
      </c>
      <c r="D28" s="3" t="s">
        <v>17</v>
      </c>
      <c r="E28" s="16">
        <v>0.2</v>
      </c>
      <c r="F28" s="24">
        <v>45798.0</v>
      </c>
      <c r="G28" s="14">
        <f t="shared" si="1"/>
        <v>0.1899335233</v>
      </c>
      <c r="H28" s="17">
        <f t="shared" si="2"/>
        <v>16.04938272</v>
      </c>
      <c r="I28" s="16">
        <v>0.5</v>
      </c>
      <c r="J28" s="24">
        <v>45798.0</v>
      </c>
      <c r="K28" s="19">
        <v>16.04938271604939</v>
      </c>
    </row>
    <row r="29" ht="22.5" customHeight="1">
      <c r="A29" s="25"/>
      <c r="B29" s="22" t="s">
        <v>46</v>
      </c>
      <c r="C29" s="11" t="s">
        <v>23</v>
      </c>
      <c r="D29" s="3" t="s">
        <v>17</v>
      </c>
      <c r="E29" s="16">
        <v>0.5</v>
      </c>
      <c r="F29" s="24">
        <v>45799.0</v>
      </c>
      <c r="G29" s="14">
        <f t="shared" si="1"/>
        <v>0.4748338082</v>
      </c>
      <c r="H29" s="17">
        <f t="shared" si="2"/>
        <v>16.52421652</v>
      </c>
      <c r="I29" s="16">
        <v>0.5</v>
      </c>
      <c r="J29" s="24">
        <v>45799.0</v>
      </c>
      <c r="K29" s="18">
        <v>16.52421652421653</v>
      </c>
    </row>
    <row r="30" ht="22.5" customHeight="1">
      <c r="A30" s="25"/>
      <c r="B30" s="22" t="s">
        <v>47</v>
      </c>
      <c r="C30" s="11" t="s">
        <v>23</v>
      </c>
      <c r="D30" s="3" t="s">
        <v>17</v>
      </c>
      <c r="E30" s="16">
        <v>0.2</v>
      </c>
      <c r="F30" s="24">
        <v>45799.0</v>
      </c>
      <c r="G30" s="14">
        <f t="shared" si="1"/>
        <v>0.1899335233</v>
      </c>
      <c r="H30" s="17">
        <f t="shared" si="2"/>
        <v>16.71415005</v>
      </c>
      <c r="I30" s="16">
        <v>0.5</v>
      </c>
      <c r="J30" s="24">
        <v>45799.0</v>
      </c>
      <c r="K30" s="19">
        <v>16.714150047483386</v>
      </c>
    </row>
    <row r="31" ht="22.5" customHeight="1">
      <c r="A31" s="25"/>
      <c r="B31" s="22" t="s">
        <v>48</v>
      </c>
      <c r="C31" s="11" t="s">
        <v>26</v>
      </c>
      <c r="D31" s="3" t="s">
        <v>17</v>
      </c>
      <c r="E31" s="16">
        <v>0.5</v>
      </c>
      <c r="F31" s="24">
        <v>45799.0</v>
      </c>
      <c r="G31" s="14">
        <f t="shared" si="1"/>
        <v>0.4748338082</v>
      </c>
      <c r="H31" s="17">
        <f t="shared" si="2"/>
        <v>17.18898386</v>
      </c>
      <c r="I31" s="16">
        <v>1.0</v>
      </c>
      <c r="J31" s="24">
        <v>45799.0</v>
      </c>
      <c r="K31" s="18">
        <v>17.188983855650527</v>
      </c>
    </row>
    <row r="32" ht="22.5" customHeight="1">
      <c r="A32" s="25"/>
      <c r="B32" s="22" t="s">
        <v>49</v>
      </c>
      <c r="C32" s="11" t="s">
        <v>26</v>
      </c>
      <c r="D32" s="3" t="s">
        <v>17</v>
      </c>
      <c r="E32" s="16">
        <v>0.2</v>
      </c>
      <c r="F32" s="24">
        <v>45799.0</v>
      </c>
      <c r="G32" s="14">
        <f t="shared" si="1"/>
        <v>0.1899335233</v>
      </c>
      <c r="H32" s="17">
        <f t="shared" si="2"/>
        <v>17.37891738</v>
      </c>
      <c r="I32" s="16">
        <v>0.5</v>
      </c>
      <c r="J32" s="24">
        <v>45799.0</v>
      </c>
      <c r="K32" s="19">
        <v>17.378917378917382</v>
      </c>
    </row>
    <row r="33" ht="22.5" customHeight="1">
      <c r="A33" s="9"/>
      <c r="B33" s="22" t="s">
        <v>50</v>
      </c>
      <c r="C33" s="11" t="s">
        <v>16</v>
      </c>
      <c r="D33" s="3" t="s">
        <v>17</v>
      </c>
      <c r="E33" s="16">
        <v>1.0</v>
      </c>
      <c r="F33" s="24">
        <v>45799.0</v>
      </c>
      <c r="G33" s="14">
        <f t="shared" si="1"/>
        <v>0.9496676163</v>
      </c>
      <c r="H33" s="17">
        <f t="shared" si="2"/>
        <v>18.328585</v>
      </c>
      <c r="I33" s="16">
        <v>1.5</v>
      </c>
      <c r="J33" s="24">
        <v>45799.0</v>
      </c>
      <c r="K33" s="18">
        <v>18.328584995251667</v>
      </c>
    </row>
    <row r="34" ht="22.5" customHeight="1">
      <c r="A34" s="25"/>
      <c r="B34" s="22" t="s">
        <v>51</v>
      </c>
      <c r="C34" s="11" t="s">
        <v>26</v>
      </c>
      <c r="D34" s="3" t="s">
        <v>17</v>
      </c>
      <c r="E34" s="16">
        <v>0.4</v>
      </c>
      <c r="F34" s="24">
        <v>45799.0</v>
      </c>
      <c r="G34" s="14">
        <f t="shared" si="1"/>
        <v>0.3798670465</v>
      </c>
      <c r="H34" s="17">
        <f t="shared" si="2"/>
        <v>18.70845204</v>
      </c>
      <c r="I34" s="16">
        <v>0.5</v>
      </c>
      <c r="J34" s="24">
        <v>45799.0</v>
      </c>
      <c r="K34" s="19">
        <v>18.70845204178538</v>
      </c>
    </row>
    <row r="35" ht="22.5" customHeight="1">
      <c r="A35" s="25"/>
      <c r="B35" s="22" t="s">
        <v>52</v>
      </c>
      <c r="C35" s="11" t="s">
        <v>20</v>
      </c>
      <c r="D35" s="3" t="s">
        <v>17</v>
      </c>
      <c r="E35" s="16">
        <v>1.0</v>
      </c>
      <c r="F35" s="24">
        <v>45799.0</v>
      </c>
      <c r="G35" s="14">
        <f t="shared" si="1"/>
        <v>0.9496676163</v>
      </c>
      <c r="H35" s="17">
        <f t="shared" si="2"/>
        <v>19.65811966</v>
      </c>
      <c r="I35" s="16">
        <v>1.5</v>
      </c>
      <c r="J35" s="24">
        <v>45799.0</v>
      </c>
      <c r="K35" s="18">
        <v>19.658119658119666</v>
      </c>
    </row>
    <row r="36" ht="22.5" customHeight="1">
      <c r="A36" s="25"/>
      <c r="B36" s="22" t="s">
        <v>53</v>
      </c>
      <c r="C36" s="11" t="s">
        <v>20</v>
      </c>
      <c r="D36" s="3" t="s">
        <v>17</v>
      </c>
      <c r="E36" s="16">
        <v>0.4</v>
      </c>
      <c r="F36" s="24">
        <v>45799.0</v>
      </c>
      <c r="G36" s="14">
        <f t="shared" si="1"/>
        <v>0.3798670465</v>
      </c>
      <c r="H36" s="17">
        <f t="shared" si="2"/>
        <v>20.0379867</v>
      </c>
      <c r="I36" s="16">
        <v>0.5</v>
      </c>
      <c r="J36" s="24">
        <v>45799.0</v>
      </c>
      <c r="K36" s="19">
        <v>20.03798670465338</v>
      </c>
    </row>
    <row r="37" ht="22.5" customHeight="1">
      <c r="A37" s="25"/>
      <c r="B37" s="22" t="s">
        <v>54</v>
      </c>
      <c r="C37" s="11" t="s">
        <v>23</v>
      </c>
      <c r="D37" s="3" t="s">
        <v>17</v>
      </c>
      <c r="E37" s="16">
        <v>1.0</v>
      </c>
      <c r="F37" s="24">
        <v>45799.0</v>
      </c>
      <c r="G37" s="14">
        <f t="shared" si="1"/>
        <v>0.9496676163</v>
      </c>
      <c r="H37" s="17">
        <f t="shared" si="2"/>
        <v>20.98765432</v>
      </c>
      <c r="I37" s="16">
        <v>1.0</v>
      </c>
      <c r="J37" s="24">
        <v>45799.0</v>
      </c>
      <c r="K37" s="18">
        <v>20.987654320987666</v>
      </c>
      <c r="O37" s="6"/>
      <c r="P37" s="6"/>
      <c r="Q37" s="6"/>
      <c r="R37" s="6"/>
      <c r="S37" s="6"/>
      <c r="T37" s="5"/>
    </row>
    <row r="38" ht="22.5" customHeight="1">
      <c r="A38" s="25"/>
      <c r="B38" s="22" t="s">
        <v>55</v>
      </c>
      <c r="C38" s="11" t="s">
        <v>23</v>
      </c>
      <c r="D38" s="3" t="s">
        <v>17</v>
      </c>
      <c r="E38" s="16">
        <v>0.4</v>
      </c>
      <c r="F38" s="24">
        <v>45800.0</v>
      </c>
      <c r="G38" s="14">
        <f t="shared" si="1"/>
        <v>0.3798670465</v>
      </c>
      <c r="H38" s="17">
        <f t="shared" si="2"/>
        <v>21.36752137</v>
      </c>
      <c r="I38" s="16">
        <v>0.5</v>
      </c>
      <c r="J38" s="24">
        <v>45800.0</v>
      </c>
      <c r="K38" s="19">
        <v>21.36752136752138</v>
      </c>
      <c r="O38" s="26" t="s">
        <v>56</v>
      </c>
      <c r="P38" s="26" t="s">
        <v>4</v>
      </c>
      <c r="Q38" s="26" t="s">
        <v>57</v>
      </c>
      <c r="R38" s="26" t="s">
        <v>58</v>
      </c>
      <c r="S38" s="26" t="s">
        <v>59</v>
      </c>
      <c r="T38" s="26" t="s">
        <v>60</v>
      </c>
    </row>
    <row r="39" ht="22.5" customHeight="1">
      <c r="A39" s="25"/>
      <c r="B39" s="22" t="s">
        <v>61</v>
      </c>
      <c r="C39" s="11" t="s">
        <v>26</v>
      </c>
      <c r="D39" s="3" t="s">
        <v>17</v>
      </c>
      <c r="E39" s="16">
        <v>1.0</v>
      </c>
      <c r="F39" s="24">
        <v>45800.0</v>
      </c>
      <c r="G39" s="14">
        <f t="shared" si="1"/>
        <v>0.9496676163</v>
      </c>
      <c r="H39" s="17">
        <f t="shared" si="2"/>
        <v>22.31718898</v>
      </c>
      <c r="I39" s="16">
        <v>1.5</v>
      </c>
      <c r="J39" s="24">
        <v>45800.0</v>
      </c>
      <c r="K39" s="18">
        <v>22.317188983855665</v>
      </c>
      <c r="O39" s="27" t="s">
        <v>62</v>
      </c>
      <c r="P39" s="27" t="s">
        <v>63</v>
      </c>
      <c r="Q39" s="28" t="s">
        <v>64</v>
      </c>
      <c r="R39" s="28" t="s">
        <v>65</v>
      </c>
      <c r="S39" s="27" t="s">
        <v>66</v>
      </c>
      <c r="T39" s="29" t="s">
        <v>67</v>
      </c>
    </row>
    <row r="40" ht="22.5" customHeight="1">
      <c r="A40" s="25"/>
      <c r="B40" s="22" t="s">
        <v>68</v>
      </c>
      <c r="C40" s="11" t="s">
        <v>26</v>
      </c>
      <c r="D40" s="3" t="s">
        <v>17</v>
      </c>
      <c r="E40" s="16">
        <v>1.0</v>
      </c>
      <c r="F40" s="24">
        <v>45800.0</v>
      </c>
      <c r="G40" s="14">
        <f t="shared" si="1"/>
        <v>0.9496676163</v>
      </c>
      <c r="H40" s="17">
        <f t="shared" si="2"/>
        <v>23.2668566</v>
      </c>
      <c r="I40" s="16">
        <v>1.0</v>
      </c>
      <c r="J40" s="24">
        <v>45800.0</v>
      </c>
      <c r="K40" s="19">
        <v>23.26685660018995</v>
      </c>
      <c r="O40" s="29" t="s">
        <v>69</v>
      </c>
      <c r="P40" s="29" t="s">
        <v>70</v>
      </c>
      <c r="Q40" s="30" t="s">
        <v>64</v>
      </c>
      <c r="R40" s="30" t="s">
        <v>65</v>
      </c>
      <c r="S40" s="29" t="s">
        <v>71</v>
      </c>
      <c r="T40" s="29"/>
    </row>
    <row r="41" ht="22.5" customHeight="1">
      <c r="A41" s="9" t="s">
        <v>72</v>
      </c>
      <c r="B41" s="22" t="s">
        <v>73</v>
      </c>
      <c r="C41" s="11" t="s">
        <v>16</v>
      </c>
      <c r="D41" s="3" t="s">
        <v>17</v>
      </c>
      <c r="E41" s="16">
        <v>1.5</v>
      </c>
      <c r="F41" s="24">
        <v>45800.0</v>
      </c>
      <c r="G41" s="14">
        <f t="shared" si="1"/>
        <v>1.424501425</v>
      </c>
      <c r="H41" s="17">
        <f t="shared" si="2"/>
        <v>24.69135802</v>
      </c>
      <c r="I41" s="12">
        <v>1.5</v>
      </c>
      <c r="J41" s="24">
        <v>45800.0</v>
      </c>
      <c r="K41" s="18">
        <v>24.691358024691375</v>
      </c>
      <c r="O41" s="29" t="s">
        <v>74</v>
      </c>
      <c r="P41" s="29" t="s">
        <v>75</v>
      </c>
      <c r="Q41" s="31" t="s">
        <v>76</v>
      </c>
      <c r="R41" s="30" t="s">
        <v>65</v>
      </c>
      <c r="S41" s="29" t="s">
        <v>77</v>
      </c>
      <c r="T41" s="29"/>
    </row>
    <row r="42" ht="22.5" customHeight="1">
      <c r="A42" s="25"/>
      <c r="B42" s="22" t="s">
        <v>78</v>
      </c>
      <c r="C42" s="11" t="s">
        <v>20</v>
      </c>
      <c r="D42" s="3" t="s">
        <v>17</v>
      </c>
      <c r="E42" s="16">
        <v>0.2</v>
      </c>
      <c r="F42" s="24">
        <v>45800.0</v>
      </c>
      <c r="G42" s="14">
        <f t="shared" si="1"/>
        <v>0.1899335233</v>
      </c>
      <c r="H42" s="17">
        <f t="shared" si="2"/>
        <v>24.88129155</v>
      </c>
      <c r="I42" s="12">
        <v>0.5</v>
      </c>
      <c r="J42" s="24">
        <v>45800.0</v>
      </c>
      <c r="K42" s="19">
        <v>24.88129154795823</v>
      </c>
      <c r="O42" s="29" t="s">
        <v>79</v>
      </c>
      <c r="P42" s="29" t="s">
        <v>80</v>
      </c>
      <c r="Q42" s="28" t="s">
        <v>64</v>
      </c>
      <c r="R42" s="28" t="s">
        <v>65</v>
      </c>
      <c r="S42" s="29" t="s">
        <v>81</v>
      </c>
      <c r="T42" s="29"/>
    </row>
    <row r="43" ht="22.5" customHeight="1">
      <c r="A43" s="25"/>
      <c r="B43" s="22" t="s">
        <v>82</v>
      </c>
      <c r="C43" s="11" t="s">
        <v>23</v>
      </c>
      <c r="D43" s="3" t="s">
        <v>17</v>
      </c>
      <c r="E43" s="16">
        <v>1.0</v>
      </c>
      <c r="F43" s="24">
        <v>45800.0</v>
      </c>
      <c r="G43" s="14">
        <f t="shared" si="1"/>
        <v>0.9496676163</v>
      </c>
      <c r="H43" s="17">
        <f t="shared" si="2"/>
        <v>25.83095916</v>
      </c>
      <c r="I43" s="12">
        <v>1.0</v>
      </c>
      <c r="J43" s="24">
        <v>45800.0</v>
      </c>
      <c r="K43" s="18">
        <v>25.830959164292516</v>
      </c>
      <c r="O43" s="27" t="s">
        <v>83</v>
      </c>
      <c r="P43" s="27" t="s">
        <v>84</v>
      </c>
      <c r="Q43" s="32" t="s">
        <v>76</v>
      </c>
      <c r="R43" s="33" t="s">
        <v>85</v>
      </c>
      <c r="S43" s="27" t="s">
        <v>86</v>
      </c>
      <c r="T43" s="27"/>
    </row>
    <row r="44" ht="22.5" customHeight="1">
      <c r="A44" s="25"/>
      <c r="B44" s="22" t="s">
        <v>87</v>
      </c>
      <c r="C44" s="11" t="s">
        <v>26</v>
      </c>
      <c r="D44" s="3" t="s">
        <v>17</v>
      </c>
      <c r="E44" s="16">
        <v>1.5</v>
      </c>
      <c r="F44" s="24">
        <v>45800.0</v>
      </c>
      <c r="G44" s="14">
        <f t="shared" si="1"/>
        <v>1.424501425</v>
      </c>
      <c r="H44" s="17">
        <f t="shared" si="2"/>
        <v>27.25546059</v>
      </c>
      <c r="I44" s="12">
        <v>1.5</v>
      </c>
      <c r="J44" s="24">
        <v>45800.0</v>
      </c>
      <c r="K44" s="19">
        <v>27.25546058879394</v>
      </c>
      <c r="O44" s="27" t="s">
        <v>88</v>
      </c>
      <c r="P44" s="27" t="s">
        <v>89</v>
      </c>
      <c r="Q44" s="33" t="s">
        <v>90</v>
      </c>
      <c r="R44" s="28" t="s">
        <v>65</v>
      </c>
      <c r="S44" s="27" t="s">
        <v>91</v>
      </c>
      <c r="T44" s="27"/>
    </row>
    <row r="45" ht="22.5" customHeight="1">
      <c r="A45" s="9"/>
      <c r="B45" s="22" t="s">
        <v>92</v>
      </c>
      <c r="C45" s="11" t="s">
        <v>16</v>
      </c>
      <c r="D45" s="3" t="s">
        <v>17</v>
      </c>
      <c r="E45" s="16">
        <v>3.0</v>
      </c>
      <c r="F45" s="24">
        <v>45803.0</v>
      </c>
      <c r="G45" s="14">
        <f t="shared" si="1"/>
        <v>2.849002849</v>
      </c>
      <c r="H45" s="17">
        <f t="shared" si="2"/>
        <v>30.10446344</v>
      </c>
      <c r="I45" s="16">
        <v>3.0</v>
      </c>
      <c r="J45" s="24">
        <v>45803.0</v>
      </c>
      <c r="K45" s="18">
        <v>30.10446343779679</v>
      </c>
    </row>
    <row r="46" ht="22.5" customHeight="1">
      <c r="A46" s="9"/>
      <c r="B46" s="22" t="s">
        <v>93</v>
      </c>
      <c r="C46" s="11" t="s">
        <v>23</v>
      </c>
      <c r="D46" s="3" t="s">
        <v>17</v>
      </c>
      <c r="E46" s="16">
        <v>0.5</v>
      </c>
      <c r="F46" s="24">
        <v>45803.0</v>
      </c>
      <c r="G46" s="14">
        <f t="shared" si="1"/>
        <v>0.4748338082</v>
      </c>
      <c r="H46" s="17">
        <f t="shared" si="2"/>
        <v>30.57929725</v>
      </c>
      <c r="I46" s="16">
        <v>0.5</v>
      </c>
      <c r="J46" s="24">
        <v>45803.0</v>
      </c>
      <c r="K46" s="34">
        <v>30.579297245963932</v>
      </c>
      <c r="O46" s="35" t="s">
        <v>94</v>
      </c>
      <c r="P46" s="35" t="s">
        <v>95</v>
      </c>
    </row>
    <row r="47" ht="22.5" customHeight="1">
      <c r="A47" s="25"/>
      <c r="B47" s="22" t="s">
        <v>96</v>
      </c>
      <c r="C47" s="36" t="s">
        <v>16</v>
      </c>
      <c r="D47" s="3" t="s">
        <v>17</v>
      </c>
      <c r="E47" s="16">
        <v>2.0</v>
      </c>
      <c r="F47" s="24">
        <v>45803.0</v>
      </c>
      <c r="G47" s="14">
        <f t="shared" si="1"/>
        <v>1.899335233</v>
      </c>
      <c r="H47" s="17">
        <f t="shared" si="2"/>
        <v>32.47863248</v>
      </c>
      <c r="I47" s="16">
        <v>1.5</v>
      </c>
      <c r="J47" s="24">
        <v>45803.0</v>
      </c>
      <c r="K47" s="19">
        <v>32.4786324786325</v>
      </c>
      <c r="O47" s="37" t="s">
        <v>97</v>
      </c>
      <c r="P47" s="37" t="s">
        <v>16</v>
      </c>
      <c r="S47" s="38" t="s">
        <v>98</v>
      </c>
      <c r="T47" s="38" t="s">
        <v>99</v>
      </c>
      <c r="U47" s="39"/>
    </row>
    <row r="48" ht="22.5" customHeight="1">
      <c r="A48" s="25"/>
      <c r="B48" s="22" t="s">
        <v>100</v>
      </c>
      <c r="C48" s="11" t="s">
        <v>20</v>
      </c>
      <c r="D48" s="3" t="s">
        <v>17</v>
      </c>
      <c r="E48" s="16">
        <v>5.0</v>
      </c>
      <c r="F48" s="24">
        <v>45804.0</v>
      </c>
      <c r="G48" s="14">
        <f t="shared" si="1"/>
        <v>4.748338082</v>
      </c>
      <c r="H48" s="17">
        <f t="shared" si="2"/>
        <v>37.22697056</v>
      </c>
      <c r="I48" s="16">
        <v>4.0</v>
      </c>
      <c r="J48" s="24">
        <v>45804.0</v>
      </c>
      <c r="K48" s="19">
        <v>37.22697056030391</v>
      </c>
      <c r="O48" s="40" t="s">
        <v>101</v>
      </c>
      <c r="P48" s="40" t="s">
        <v>20</v>
      </c>
      <c r="S48" s="22" t="s">
        <v>102</v>
      </c>
      <c r="T48" s="24">
        <v>45796.0</v>
      </c>
      <c r="U48" s="39"/>
    </row>
    <row r="49" ht="22.5" customHeight="1">
      <c r="A49" s="25"/>
      <c r="B49" s="22" t="s">
        <v>103</v>
      </c>
      <c r="C49" s="11" t="s">
        <v>20</v>
      </c>
      <c r="D49" s="3" t="s">
        <v>17</v>
      </c>
      <c r="E49" s="16">
        <v>0.5</v>
      </c>
      <c r="F49" s="24">
        <v>45804.0</v>
      </c>
      <c r="G49" s="14">
        <f t="shared" si="1"/>
        <v>0.4748338082</v>
      </c>
      <c r="H49" s="17">
        <f t="shared" si="2"/>
        <v>37.70180437</v>
      </c>
      <c r="I49" s="16">
        <v>0.5</v>
      </c>
      <c r="J49" s="24">
        <v>45804.0</v>
      </c>
      <c r="K49" s="18">
        <v>37.70180436847105</v>
      </c>
      <c r="O49" s="40" t="s">
        <v>104</v>
      </c>
      <c r="P49" s="40" t="s">
        <v>23</v>
      </c>
      <c r="S49" s="22" t="s">
        <v>105</v>
      </c>
      <c r="T49" s="24">
        <v>45798.0</v>
      </c>
      <c r="U49" s="39"/>
    </row>
    <row r="50" ht="22.5" customHeight="1">
      <c r="A50" s="25"/>
      <c r="B50" s="22" t="s">
        <v>106</v>
      </c>
      <c r="C50" s="36" t="s">
        <v>20</v>
      </c>
      <c r="D50" s="3" t="s">
        <v>17</v>
      </c>
      <c r="E50" s="16">
        <v>2.0</v>
      </c>
      <c r="F50" s="24">
        <v>45804.0</v>
      </c>
      <c r="G50" s="14">
        <f t="shared" si="1"/>
        <v>1.899335233</v>
      </c>
      <c r="H50" s="17">
        <f t="shared" si="2"/>
        <v>39.6011396</v>
      </c>
      <c r="I50" s="16">
        <v>1.5</v>
      </c>
      <c r="J50" s="24">
        <v>45804.0</v>
      </c>
      <c r="K50" s="18">
        <v>39.60113960113962</v>
      </c>
      <c r="O50" s="37" t="s">
        <v>107</v>
      </c>
      <c r="P50" s="37" t="s">
        <v>26</v>
      </c>
      <c r="S50" s="22" t="s">
        <v>108</v>
      </c>
      <c r="T50" s="24">
        <v>45812.0</v>
      </c>
      <c r="U50" s="39"/>
    </row>
    <row r="51" ht="22.5" customHeight="1">
      <c r="A51" s="25"/>
      <c r="B51" s="22" t="s">
        <v>109</v>
      </c>
      <c r="C51" s="11" t="s">
        <v>23</v>
      </c>
      <c r="D51" s="3" t="s">
        <v>17</v>
      </c>
      <c r="E51" s="16">
        <v>4.5</v>
      </c>
      <c r="F51" s="24">
        <v>45804.0</v>
      </c>
      <c r="G51" s="14">
        <f t="shared" si="1"/>
        <v>4.273504274</v>
      </c>
      <c r="H51" s="17">
        <f t="shared" si="2"/>
        <v>43.87464387</v>
      </c>
      <c r="I51" s="16">
        <v>4.0</v>
      </c>
      <c r="J51" s="24">
        <v>45804.0</v>
      </c>
      <c r="K51" s="19">
        <v>43.874643874643894</v>
      </c>
      <c r="O51" s="37" t="s">
        <v>110</v>
      </c>
      <c r="P51" s="37" t="s">
        <v>16</v>
      </c>
      <c r="T51" s="41"/>
      <c r="U51" s="39"/>
    </row>
    <row r="52" ht="22.5" customHeight="1">
      <c r="A52" s="25"/>
      <c r="B52" s="22" t="s">
        <v>111</v>
      </c>
      <c r="C52" s="11" t="s">
        <v>23</v>
      </c>
      <c r="D52" s="3" t="s">
        <v>17</v>
      </c>
      <c r="E52" s="16">
        <v>0.5</v>
      </c>
      <c r="F52" s="24">
        <v>45804.0</v>
      </c>
      <c r="G52" s="14">
        <f t="shared" si="1"/>
        <v>0.4748338082</v>
      </c>
      <c r="H52" s="17">
        <f t="shared" si="2"/>
        <v>44.34947768</v>
      </c>
      <c r="I52" s="16">
        <v>0.5</v>
      </c>
      <c r="J52" s="24">
        <v>45804.0</v>
      </c>
      <c r="K52" s="18">
        <v>44.349477682811035</v>
      </c>
      <c r="O52" s="40" t="s">
        <v>112</v>
      </c>
      <c r="P52" s="40" t="s">
        <v>23</v>
      </c>
      <c r="S52" s="42"/>
      <c r="T52" s="43"/>
      <c r="U52" s="39"/>
    </row>
    <row r="53" ht="22.5" customHeight="1">
      <c r="A53" s="25"/>
      <c r="B53" s="22" t="s">
        <v>113</v>
      </c>
      <c r="C53" s="11" t="s">
        <v>23</v>
      </c>
      <c r="D53" s="3" t="s">
        <v>17</v>
      </c>
      <c r="E53" s="16">
        <v>2.0</v>
      </c>
      <c r="F53" s="24">
        <v>45804.0</v>
      </c>
      <c r="G53" s="14">
        <f t="shared" si="1"/>
        <v>1.899335233</v>
      </c>
      <c r="H53" s="17">
        <f t="shared" si="2"/>
        <v>46.24881292</v>
      </c>
      <c r="I53" s="16">
        <v>1.5</v>
      </c>
      <c r="J53" s="24">
        <v>45804.0</v>
      </c>
      <c r="K53" s="18">
        <v>46.248812915479604</v>
      </c>
      <c r="O53" s="40" t="s">
        <v>114</v>
      </c>
      <c r="P53" s="40" t="s">
        <v>115</v>
      </c>
      <c r="S53" s="42"/>
      <c r="T53" s="43"/>
      <c r="U53" s="39"/>
    </row>
    <row r="54" ht="22.5" customHeight="1">
      <c r="A54" s="25"/>
      <c r="B54" s="22" t="s">
        <v>116</v>
      </c>
      <c r="C54" s="11" t="s">
        <v>26</v>
      </c>
      <c r="D54" s="3" t="s">
        <v>17</v>
      </c>
      <c r="E54" s="16">
        <v>3.0</v>
      </c>
      <c r="F54" s="24">
        <v>45805.0</v>
      </c>
      <c r="G54" s="14">
        <f t="shared" si="1"/>
        <v>2.849002849</v>
      </c>
      <c r="H54" s="17">
        <f t="shared" si="2"/>
        <v>49.09781576</v>
      </c>
      <c r="I54" s="16">
        <v>3.0</v>
      </c>
      <c r="J54" s="24">
        <v>45805.0</v>
      </c>
      <c r="K54" s="19">
        <v>49.097815764482455</v>
      </c>
      <c r="M54" s="44"/>
      <c r="O54" s="37" t="s">
        <v>117</v>
      </c>
      <c r="P54" s="37" t="s">
        <v>26</v>
      </c>
      <c r="V54" s="44"/>
      <c r="W54" s="44"/>
    </row>
    <row r="55" ht="22.5" customHeight="1">
      <c r="A55" s="25"/>
      <c r="B55" s="22" t="s">
        <v>118</v>
      </c>
      <c r="C55" s="11" t="s">
        <v>26</v>
      </c>
      <c r="D55" s="3" t="s">
        <v>17</v>
      </c>
      <c r="E55" s="16">
        <v>1.0</v>
      </c>
      <c r="F55" s="24">
        <v>45805.0</v>
      </c>
      <c r="G55" s="14">
        <f t="shared" si="1"/>
        <v>0.9496676163</v>
      </c>
      <c r="H55" s="17">
        <f t="shared" si="2"/>
        <v>50.04748338</v>
      </c>
      <c r="I55" s="16">
        <v>1.0</v>
      </c>
      <c r="J55" s="24">
        <v>45805.0</v>
      </c>
      <c r="K55" s="18">
        <v>50.047483380816736</v>
      </c>
      <c r="M55" s="44"/>
      <c r="N55" s="44"/>
      <c r="O55" s="37" t="s">
        <v>119</v>
      </c>
      <c r="P55" s="37" t="s">
        <v>16</v>
      </c>
      <c r="Q55" s="44"/>
      <c r="R55" s="44"/>
      <c r="S55" s="44"/>
      <c r="T55" s="44"/>
      <c r="U55" s="44"/>
      <c r="V55" s="44"/>
      <c r="W55" s="44"/>
      <c r="X55" s="44"/>
    </row>
    <row r="56" ht="22.5" customHeight="1">
      <c r="A56" s="25"/>
      <c r="B56" s="22" t="s">
        <v>120</v>
      </c>
      <c r="C56" s="36" t="s">
        <v>26</v>
      </c>
      <c r="D56" s="3" t="s">
        <v>17</v>
      </c>
      <c r="E56" s="16">
        <v>2.0</v>
      </c>
      <c r="F56" s="24">
        <v>45805.0</v>
      </c>
      <c r="G56" s="14">
        <f t="shared" si="1"/>
        <v>1.899335233</v>
      </c>
      <c r="H56" s="17">
        <f t="shared" si="2"/>
        <v>51.94681861</v>
      </c>
      <c r="I56" s="16">
        <v>2.0</v>
      </c>
      <c r="J56" s="24">
        <v>45805.0</v>
      </c>
      <c r="K56" s="19">
        <v>51.946818613485306</v>
      </c>
      <c r="M56" s="44"/>
      <c r="N56" s="44"/>
      <c r="O56" s="40" t="s">
        <v>121</v>
      </c>
      <c r="P56" s="40" t="s">
        <v>20</v>
      </c>
      <c r="Q56" s="44"/>
      <c r="R56" s="44"/>
      <c r="S56" s="44"/>
      <c r="T56" s="44"/>
      <c r="U56" s="44"/>
      <c r="V56" s="44"/>
      <c r="W56" s="44"/>
      <c r="X56" s="44"/>
    </row>
    <row r="57" ht="22.5" customHeight="1">
      <c r="A57" s="9"/>
      <c r="B57" s="22" t="s">
        <v>122</v>
      </c>
      <c r="C57" s="11" t="s">
        <v>16</v>
      </c>
      <c r="D57" s="3" t="s">
        <v>17</v>
      </c>
      <c r="E57" s="16">
        <v>2.0</v>
      </c>
      <c r="F57" s="24">
        <v>45805.0</v>
      </c>
      <c r="G57" s="14">
        <f t="shared" si="1"/>
        <v>1.899335233</v>
      </c>
      <c r="H57" s="17">
        <f t="shared" si="2"/>
        <v>53.84615385</v>
      </c>
      <c r="I57" s="16">
        <v>2.0</v>
      </c>
      <c r="J57" s="24">
        <v>45805.0</v>
      </c>
      <c r="K57" s="18">
        <v>53.846153846153875</v>
      </c>
      <c r="M57" s="44"/>
      <c r="N57" s="44"/>
      <c r="O57" s="40" t="s">
        <v>123</v>
      </c>
      <c r="P57" s="40" t="s">
        <v>23</v>
      </c>
      <c r="Q57" s="44"/>
      <c r="R57" s="44"/>
      <c r="S57" s="44"/>
      <c r="T57" s="44"/>
      <c r="U57" s="44"/>
      <c r="V57" s="44"/>
      <c r="W57" s="44"/>
      <c r="X57" s="44"/>
    </row>
    <row r="58" ht="22.5" customHeight="1">
      <c r="A58" s="25"/>
      <c r="B58" s="22" t="s">
        <v>124</v>
      </c>
      <c r="C58" s="11" t="s">
        <v>16</v>
      </c>
      <c r="D58" s="3" t="s">
        <v>17</v>
      </c>
      <c r="E58" s="16">
        <v>1.0</v>
      </c>
      <c r="F58" s="24">
        <v>45805.0</v>
      </c>
      <c r="G58" s="14">
        <f t="shared" si="1"/>
        <v>0.9496676163</v>
      </c>
      <c r="H58" s="17">
        <f t="shared" si="2"/>
        <v>54.79582146</v>
      </c>
      <c r="I58" s="16">
        <v>1.5</v>
      </c>
      <c r="J58" s="24">
        <v>45805.0</v>
      </c>
      <c r="K58" s="19">
        <v>54.795821462488156</v>
      </c>
      <c r="M58" s="44"/>
      <c r="N58" s="44"/>
      <c r="O58" s="40" t="s">
        <v>125</v>
      </c>
      <c r="P58" s="40" t="s">
        <v>26</v>
      </c>
      <c r="Q58" s="44"/>
      <c r="R58" s="44"/>
      <c r="S58" s="44"/>
      <c r="T58" s="44"/>
      <c r="U58" s="44"/>
      <c r="V58" s="44"/>
      <c r="W58" s="44"/>
      <c r="X58" s="44"/>
    </row>
    <row r="59" ht="22.5" customHeight="1">
      <c r="A59" s="25"/>
      <c r="B59" s="22" t="s">
        <v>126</v>
      </c>
      <c r="C59" s="36" t="s">
        <v>16</v>
      </c>
      <c r="D59" s="3" t="s">
        <v>17</v>
      </c>
      <c r="E59" s="16">
        <v>2.0</v>
      </c>
      <c r="F59" s="24">
        <v>45805.0</v>
      </c>
      <c r="G59" s="14">
        <f t="shared" si="1"/>
        <v>1.899335233</v>
      </c>
      <c r="H59" s="17">
        <f t="shared" si="2"/>
        <v>56.6951567</v>
      </c>
      <c r="I59" s="16">
        <v>3.0</v>
      </c>
      <c r="J59" s="24">
        <v>45805.0</v>
      </c>
      <c r="K59" s="18">
        <v>56.695156695156726</v>
      </c>
      <c r="M59" s="44"/>
      <c r="N59" s="44"/>
      <c r="O59" s="44"/>
      <c r="P59" s="44"/>
      <c r="Q59" s="44"/>
      <c r="R59" s="44"/>
      <c r="S59" s="44"/>
      <c r="T59" s="44"/>
      <c r="U59" s="44"/>
      <c r="V59" s="44"/>
      <c r="W59" s="44"/>
      <c r="X59" s="44"/>
    </row>
    <row r="60" ht="22.5" customHeight="1">
      <c r="A60" s="25"/>
      <c r="B60" s="22" t="s">
        <v>127</v>
      </c>
      <c r="C60" s="11" t="s">
        <v>20</v>
      </c>
      <c r="D60" s="3" t="s">
        <v>17</v>
      </c>
      <c r="E60" s="16">
        <v>2.0</v>
      </c>
      <c r="F60" s="24">
        <v>45806.0</v>
      </c>
      <c r="G60" s="14">
        <f t="shared" si="1"/>
        <v>1.899335233</v>
      </c>
      <c r="H60" s="17">
        <f t="shared" si="2"/>
        <v>58.59449193</v>
      </c>
      <c r="I60" s="16">
        <v>2.0</v>
      </c>
      <c r="J60" s="24">
        <v>45806.0</v>
      </c>
      <c r="K60" s="19">
        <v>58.594491927825295</v>
      </c>
      <c r="M60" s="44"/>
      <c r="N60" s="44"/>
      <c r="O60" s="44"/>
      <c r="P60" s="44"/>
      <c r="Q60" s="44"/>
      <c r="R60" s="44"/>
      <c r="S60" s="44"/>
      <c r="T60" s="44"/>
      <c r="U60" s="44"/>
      <c r="V60" s="44"/>
      <c r="W60" s="44"/>
      <c r="X60" s="44"/>
    </row>
    <row r="61" ht="22.5" customHeight="1">
      <c r="A61" s="25"/>
      <c r="B61" s="22" t="s">
        <v>128</v>
      </c>
      <c r="C61" s="11" t="s">
        <v>20</v>
      </c>
      <c r="D61" s="3" t="s">
        <v>17</v>
      </c>
      <c r="E61" s="16">
        <v>2.0</v>
      </c>
      <c r="F61" s="24">
        <v>45806.0</v>
      </c>
      <c r="G61" s="14">
        <f t="shared" si="1"/>
        <v>1.899335233</v>
      </c>
      <c r="H61" s="17">
        <f t="shared" si="2"/>
        <v>60.49382716</v>
      </c>
      <c r="I61" s="16">
        <v>2.0</v>
      </c>
      <c r="J61" s="24">
        <v>45806.0</v>
      </c>
      <c r="K61" s="18">
        <v>60.493827160493865</v>
      </c>
      <c r="M61" s="44"/>
      <c r="N61" s="44"/>
      <c r="O61" s="44"/>
      <c r="P61" s="44"/>
      <c r="Q61" s="44"/>
      <c r="R61" s="44"/>
      <c r="S61" s="44"/>
      <c r="T61" s="44"/>
      <c r="U61" s="44"/>
      <c r="V61" s="44"/>
      <c r="W61" s="44"/>
      <c r="X61" s="44"/>
    </row>
    <row r="62" ht="22.5" customHeight="1">
      <c r="A62" s="9"/>
      <c r="B62" s="22" t="s">
        <v>129</v>
      </c>
      <c r="C62" s="36" t="s">
        <v>20</v>
      </c>
      <c r="D62" s="3" t="s">
        <v>17</v>
      </c>
      <c r="E62" s="16">
        <v>2.0</v>
      </c>
      <c r="F62" s="24">
        <v>45806.0</v>
      </c>
      <c r="G62" s="14">
        <f t="shared" si="1"/>
        <v>1.899335233</v>
      </c>
      <c r="H62" s="17">
        <f t="shared" si="2"/>
        <v>62.39316239</v>
      </c>
      <c r="I62" s="12">
        <v>2.0</v>
      </c>
      <c r="J62" s="24">
        <v>45806.0</v>
      </c>
      <c r="K62" s="18">
        <v>62.393162393162434</v>
      </c>
      <c r="M62" s="44"/>
      <c r="N62" s="44"/>
      <c r="O62" s="44"/>
      <c r="P62" s="44"/>
      <c r="Q62" s="44"/>
      <c r="R62" s="45"/>
      <c r="S62" s="46"/>
      <c r="T62" s="46"/>
      <c r="U62" s="46"/>
      <c r="V62" s="44"/>
      <c r="W62" s="44"/>
      <c r="X62" s="44"/>
    </row>
    <row r="63" ht="22.5" customHeight="1">
      <c r="A63" s="9"/>
      <c r="B63" s="22" t="s">
        <v>130</v>
      </c>
      <c r="C63" s="11" t="s">
        <v>23</v>
      </c>
      <c r="D63" s="3" t="s">
        <v>17</v>
      </c>
      <c r="E63" s="16">
        <v>4.0</v>
      </c>
      <c r="F63" s="24">
        <v>45806.0</v>
      </c>
      <c r="G63" s="14">
        <f t="shared" si="1"/>
        <v>3.798670465</v>
      </c>
      <c r="H63" s="17">
        <f t="shared" si="2"/>
        <v>66.19183286</v>
      </c>
      <c r="I63" s="12">
        <v>4.0</v>
      </c>
      <c r="J63" s="24">
        <v>45806.0</v>
      </c>
      <c r="K63" s="18">
        <v>66.19183285849957</v>
      </c>
      <c r="M63" s="44"/>
      <c r="N63" s="44"/>
      <c r="O63" s="44"/>
      <c r="P63" s="44"/>
      <c r="Q63" s="44"/>
      <c r="R63" s="45"/>
      <c r="S63" s="46"/>
      <c r="T63" s="46"/>
      <c r="U63" s="46"/>
      <c r="V63" s="44"/>
      <c r="W63" s="44"/>
    </row>
    <row r="64" ht="22.5" customHeight="1">
      <c r="A64" s="9"/>
      <c r="B64" s="22" t="s">
        <v>131</v>
      </c>
      <c r="C64" s="11" t="s">
        <v>23</v>
      </c>
      <c r="D64" s="3" t="s">
        <v>17</v>
      </c>
      <c r="E64" s="16">
        <v>1.5</v>
      </c>
      <c r="F64" s="24">
        <v>45806.0</v>
      </c>
      <c r="G64" s="14">
        <f t="shared" si="1"/>
        <v>1.424501425</v>
      </c>
      <c r="H64" s="17">
        <f t="shared" si="2"/>
        <v>67.61633428</v>
      </c>
      <c r="I64" s="12">
        <v>1.5</v>
      </c>
      <c r="J64" s="24">
        <v>45806.0</v>
      </c>
      <c r="K64" s="18">
        <v>67.616334283001</v>
      </c>
      <c r="M64" s="44"/>
      <c r="N64" s="44"/>
      <c r="O64" s="44"/>
      <c r="P64" s="44"/>
      <c r="Q64" s="44"/>
      <c r="R64" s="45"/>
      <c r="S64" s="46"/>
      <c r="T64" s="46"/>
      <c r="U64" s="46"/>
      <c r="V64" s="44"/>
      <c r="W64" s="44"/>
    </row>
    <row r="65" ht="22.5" customHeight="1">
      <c r="A65" s="9"/>
      <c r="B65" s="22" t="s">
        <v>132</v>
      </c>
      <c r="C65" s="36" t="s">
        <v>23</v>
      </c>
      <c r="D65" s="3" t="s">
        <v>17</v>
      </c>
      <c r="E65" s="16">
        <v>2.0</v>
      </c>
      <c r="F65" s="24">
        <v>45806.0</v>
      </c>
      <c r="G65" s="14">
        <f t="shared" si="1"/>
        <v>1.899335233</v>
      </c>
      <c r="H65" s="17">
        <f t="shared" si="2"/>
        <v>69.51566952</v>
      </c>
      <c r="I65" s="12">
        <v>2.0</v>
      </c>
      <c r="J65" s="24">
        <v>45806.0</v>
      </c>
      <c r="K65" s="18">
        <v>69.51566951566956</v>
      </c>
      <c r="M65" s="44"/>
      <c r="N65" s="44"/>
      <c r="O65" s="44"/>
      <c r="P65" s="44"/>
      <c r="Q65" s="44"/>
      <c r="R65" s="45"/>
      <c r="S65" s="46"/>
      <c r="T65" s="46"/>
      <c r="U65" s="46"/>
      <c r="V65" s="44"/>
      <c r="W65" s="44"/>
    </row>
    <row r="66" ht="22.5" customHeight="1">
      <c r="A66" s="9"/>
      <c r="B66" s="22" t="s">
        <v>133</v>
      </c>
      <c r="C66" s="11" t="s">
        <v>26</v>
      </c>
      <c r="D66" s="3" t="s">
        <v>17</v>
      </c>
      <c r="E66" s="16">
        <v>4.0</v>
      </c>
      <c r="F66" s="24">
        <v>45807.0</v>
      </c>
      <c r="G66" s="14">
        <f t="shared" si="1"/>
        <v>3.798670465</v>
      </c>
      <c r="H66" s="17">
        <f t="shared" si="2"/>
        <v>73.31433998</v>
      </c>
      <c r="I66" s="12">
        <v>2.0</v>
      </c>
      <c r="J66" s="24">
        <v>45807.0</v>
      </c>
      <c r="K66" s="18">
        <v>73.3143399810067</v>
      </c>
      <c r="M66" s="44"/>
      <c r="N66" s="44"/>
      <c r="O66" s="44"/>
      <c r="P66" s="44"/>
      <c r="Q66" s="44"/>
      <c r="R66" s="45"/>
      <c r="S66" s="46"/>
      <c r="T66" s="46"/>
      <c r="U66" s="46"/>
      <c r="V66" s="44"/>
      <c r="W66" s="44"/>
    </row>
    <row r="67" ht="22.5" customHeight="1">
      <c r="A67" s="9"/>
      <c r="B67" s="22" t="s">
        <v>134</v>
      </c>
      <c r="C67" s="11" t="s">
        <v>26</v>
      </c>
      <c r="D67" s="3" t="s">
        <v>17</v>
      </c>
      <c r="E67" s="16">
        <v>2.0</v>
      </c>
      <c r="F67" s="24">
        <v>45807.0</v>
      </c>
      <c r="G67" s="14">
        <f t="shared" si="1"/>
        <v>1.899335233</v>
      </c>
      <c r="H67" s="17">
        <f t="shared" si="2"/>
        <v>75.21367521</v>
      </c>
      <c r="I67" s="12">
        <v>2.0</v>
      </c>
      <c r="J67" s="24">
        <v>45807.0</v>
      </c>
      <c r="K67" s="18">
        <v>75.21367521367526</v>
      </c>
      <c r="M67" s="44"/>
      <c r="N67" s="44"/>
      <c r="Q67" s="44"/>
      <c r="R67" s="45"/>
      <c r="S67" s="46"/>
      <c r="T67" s="46"/>
      <c r="U67" s="46"/>
      <c r="V67" s="44"/>
      <c r="W67" s="44"/>
    </row>
    <row r="68" ht="22.5" customHeight="1">
      <c r="A68" s="9"/>
      <c r="B68" s="22" t="s">
        <v>135</v>
      </c>
      <c r="C68" s="36" t="s">
        <v>26</v>
      </c>
      <c r="D68" s="3" t="s">
        <v>17</v>
      </c>
      <c r="E68" s="16">
        <v>2.5</v>
      </c>
      <c r="F68" s="24">
        <v>45807.0</v>
      </c>
      <c r="G68" s="14">
        <f t="shared" si="1"/>
        <v>2.374169041</v>
      </c>
      <c r="H68" s="17">
        <f t="shared" si="2"/>
        <v>77.58784425</v>
      </c>
      <c r="I68" s="12">
        <v>2.5</v>
      </c>
      <c r="J68" s="24">
        <v>45807.0</v>
      </c>
      <c r="K68" s="18">
        <v>77.58784425451097</v>
      </c>
      <c r="M68" s="44"/>
      <c r="N68" s="44"/>
      <c r="Q68" s="44"/>
      <c r="R68" s="45"/>
      <c r="S68" s="46"/>
      <c r="T68" s="46"/>
      <c r="U68" s="46"/>
      <c r="V68" s="44"/>
      <c r="W68" s="44"/>
    </row>
    <row r="69" ht="22.5" customHeight="1">
      <c r="A69" s="9" t="s">
        <v>136</v>
      </c>
      <c r="B69" s="22" t="s">
        <v>137</v>
      </c>
      <c r="C69" s="47" t="s">
        <v>138</v>
      </c>
      <c r="D69" s="3" t="s">
        <v>17</v>
      </c>
      <c r="E69" s="16">
        <v>3.0</v>
      </c>
      <c r="F69" s="24">
        <v>45807.0</v>
      </c>
      <c r="G69" s="14">
        <f t="shared" si="1"/>
        <v>2.849002849</v>
      </c>
      <c r="H69" s="17">
        <f t="shared" si="2"/>
        <v>80.4368471</v>
      </c>
      <c r="I69" s="12">
        <v>4.0</v>
      </c>
      <c r="J69" s="24">
        <v>45807.0</v>
      </c>
      <c r="K69" s="19">
        <v>80.43684710351381</v>
      </c>
      <c r="M69" s="44"/>
      <c r="N69" s="44"/>
      <c r="Q69" s="44"/>
      <c r="R69" s="45"/>
      <c r="S69" s="46"/>
      <c r="T69" s="46"/>
      <c r="U69" s="46"/>
      <c r="V69" s="44"/>
      <c r="W69" s="44"/>
    </row>
    <row r="70" ht="22.5" customHeight="1">
      <c r="A70" s="9"/>
      <c r="B70" s="22" t="s">
        <v>139</v>
      </c>
      <c r="C70" s="23" t="s">
        <v>20</v>
      </c>
      <c r="D70" s="3" t="s">
        <v>17</v>
      </c>
      <c r="E70" s="16">
        <v>2.6</v>
      </c>
      <c r="F70" s="24">
        <v>45807.0</v>
      </c>
      <c r="G70" s="14">
        <f t="shared" si="1"/>
        <v>2.469135802</v>
      </c>
      <c r="H70" s="17">
        <f t="shared" si="2"/>
        <v>82.90598291</v>
      </c>
      <c r="I70" s="12">
        <v>2.6</v>
      </c>
      <c r="J70" s="24">
        <v>45807.0</v>
      </c>
      <c r="K70" s="18">
        <v>82.90598290598295</v>
      </c>
      <c r="M70" s="44"/>
      <c r="N70" s="44"/>
      <c r="Q70" s="44"/>
      <c r="R70" s="45"/>
      <c r="S70" s="46"/>
      <c r="T70" s="46"/>
      <c r="U70" s="46"/>
      <c r="V70" s="44"/>
      <c r="W70" s="44"/>
    </row>
    <row r="71" ht="22.5" customHeight="1">
      <c r="A71" s="9"/>
      <c r="B71" s="22" t="s">
        <v>140</v>
      </c>
      <c r="C71" s="9" t="s">
        <v>138</v>
      </c>
      <c r="D71" s="3" t="s">
        <v>17</v>
      </c>
      <c r="E71" s="9">
        <v>1.5</v>
      </c>
      <c r="F71" s="24">
        <v>45807.0</v>
      </c>
      <c r="G71" s="14">
        <f t="shared" si="1"/>
        <v>1.424501425</v>
      </c>
      <c r="H71" s="17">
        <f t="shared" si="2"/>
        <v>84.33048433</v>
      </c>
      <c r="I71" s="12">
        <v>2.0</v>
      </c>
      <c r="J71" s="24">
        <v>45807.0</v>
      </c>
      <c r="K71" s="19">
        <v>84.33048433048438</v>
      </c>
      <c r="M71" s="48"/>
      <c r="N71" s="49"/>
      <c r="Q71" s="48"/>
      <c r="R71" s="50"/>
      <c r="S71" s="50"/>
      <c r="T71" s="50"/>
      <c r="U71" s="50"/>
    </row>
    <row r="72" ht="22.5" customHeight="1">
      <c r="A72" s="9"/>
      <c r="B72" s="22" t="s">
        <v>141</v>
      </c>
      <c r="C72" s="23" t="s">
        <v>29</v>
      </c>
      <c r="D72" s="3" t="s">
        <v>17</v>
      </c>
      <c r="E72" s="9">
        <v>6.0</v>
      </c>
      <c r="F72" s="24">
        <v>45807.0</v>
      </c>
      <c r="G72" s="14">
        <f t="shared" si="1"/>
        <v>5.698005698</v>
      </c>
      <c r="H72" s="17">
        <f t="shared" si="2"/>
        <v>90.02849003</v>
      </c>
      <c r="I72" s="12">
        <v>6.0</v>
      </c>
      <c r="J72" s="24">
        <v>45807.0</v>
      </c>
      <c r="K72" s="18">
        <v>90.02849002849008</v>
      </c>
      <c r="M72" s="48"/>
      <c r="N72" s="51"/>
      <c r="Q72" s="48"/>
      <c r="R72" s="50"/>
      <c r="S72" s="50"/>
      <c r="T72" s="50"/>
      <c r="U72" s="50"/>
    </row>
    <row r="73" ht="22.5" customHeight="1">
      <c r="A73" s="9"/>
      <c r="B73" s="22" t="s">
        <v>142</v>
      </c>
      <c r="C73" s="23" t="s">
        <v>16</v>
      </c>
      <c r="D73" s="3" t="s">
        <v>17</v>
      </c>
      <c r="E73" s="9">
        <v>1.0</v>
      </c>
      <c r="F73" s="24">
        <v>45810.0</v>
      </c>
      <c r="G73" s="14">
        <f t="shared" si="1"/>
        <v>0.9496676163</v>
      </c>
      <c r="H73" s="17">
        <f t="shared" si="2"/>
        <v>90.97815764</v>
      </c>
      <c r="I73" s="9">
        <v>1.0</v>
      </c>
      <c r="J73" s="52">
        <v>45810.0</v>
      </c>
      <c r="K73" s="18">
        <v>90.97815764482436</v>
      </c>
      <c r="M73" s="48"/>
      <c r="N73" s="51"/>
      <c r="Q73" s="48"/>
      <c r="R73" s="50"/>
      <c r="S73" s="50"/>
      <c r="T73" s="50"/>
      <c r="U73" s="50"/>
    </row>
    <row r="74" ht="22.5" customHeight="1">
      <c r="A74" s="9"/>
      <c r="B74" s="22" t="s">
        <v>143</v>
      </c>
      <c r="C74" s="23" t="s">
        <v>20</v>
      </c>
      <c r="D74" s="3" t="s">
        <v>17</v>
      </c>
      <c r="E74" s="9">
        <v>1.0</v>
      </c>
      <c r="F74" s="24">
        <v>45810.0</v>
      </c>
      <c r="G74" s="14">
        <f t="shared" si="1"/>
        <v>0.9496676163</v>
      </c>
      <c r="H74" s="17">
        <f t="shared" si="2"/>
        <v>91.92782526</v>
      </c>
      <c r="I74" s="9">
        <v>1.0</v>
      </c>
      <c r="J74" s="52">
        <v>45810.0</v>
      </c>
      <c r="K74" s="18">
        <v>91.92782526115865</v>
      </c>
      <c r="M74" s="48"/>
      <c r="N74" s="51"/>
      <c r="Q74" s="48"/>
      <c r="R74" s="50"/>
      <c r="S74" s="50"/>
      <c r="T74" s="50"/>
      <c r="U74" s="50"/>
    </row>
    <row r="75" ht="22.5" customHeight="1">
      <c r="A75" s="9"/>
      <c r="B75" s="22" t="s">
        <v>144</v>
      </c>
      <c r="C75" s="23" t="s">
        <v>23</v>
      </c>
      <c r="D75" s="3" t="s">
        <v>17</v>
      </c>
      <c r="E75" s="9">
        <v>1.0</v>
      </c>
      <c r="F75" s="24">
        <v>45810.0</v>
      </c>
      <c r="G75" s="14">
        <f t="shared" si="1"/>
        <v>0.9496676163</v>
      </c>
      <c r="H75" s="17">
        <f t="shared" si="2"/>
        <v>92.87749288</v>
      </c>
      <c r="I75" s="9">
        <v>1.0</v>
      </c>
      <c r="J75" s="52">
        <v>45810.0</v>
      </c>
      <c r="K75" s="18">
        <v>92.87749287749293</v>
      </c>
      <c r="M75" s="48"/>
      <c r="N75" s="51"/>
      <c r="Q75" s="48"/>
      <c r="R75" s="50"/>
      <c r="S75" s="50"/>
      <c r="T75" s="50"/>
      <c r="U75" s="50"/>
    </row>
    <row r="76" ht="22.5" customHeight="1">
      <c r="A76" s="9"/>
      <c r="B76" s="22" t="s">
        <v>145</v>
      </c>
      <c r="C76" s="23" t="s">
        <v>26</v>
      </c>
      <c r="D76" s="3" t="s">
        <v>17</v>
      </c>
      <c r="E76" s="9">
        <v>1.0</v>
      </c>
      <c r="F76" s="24">
        <v>45810.0</v>
      </c>
      <c r="G76" s="14">
        <f t="shared" si="1"/>
        <v>0.9496676163</v>
      </c>
      <c r="H76" s="17">
        <f t="shared" si="2"/>
        <v>93.82716049</v>
      </c>
      <c r="I76" s="9">
        <v>1.0</v>
      </c>
      <c r="J76" s="52">
        <v>45810.0</v>
      </c>
      <c r="K76" s="18">
        <v>93.82716049382721</v>
      </c>
      <c r="M76" s="48"/>
      <c r="N76" s="51"/>
      <c r="Q76" s="48"/>
      <c r="R76" s="50"/>
      <c r="S76" s="50"/>
      <c r="T76" s="50"/>
      <c r="U76" s="50"/>
    </row>
    <row r="77" ht="22.5" customHeight="1">
      <c r="A77" s="9" t="s">
        <v>146</v>
      </c>
      <c r="B77" s="22" t="s">
        <v>147</v>
      </c>
      <c r="C77" s="23" t="s">
        <v>31</v>
      </c>
      <c r="D77" s="3" t="s">
        <v>17</v>
      </c>
      <c r="E77" s="9">
        <v>3.0</v>
      </c>
      <c r="F77" s="24">
        <v>45811.0</v>
      </c>
      <c r="G77" s="14">
        <f t="shared" si="1"/>
        <v>2.849002849</v>
      </c>
      <c r="H77" s="17">
        <f t="shared" si="2"/>
        <v>96.67616334</v>
      </c>
      <c r="I77" s="9">
        <v>3.0</v>
      </c>
      <c r="J77" s="52">
        <v>45811.0</v>
      </c>
      <c r="K77" s="19">
        <v>96.67616334283005</v>
      </c>
      <c r="M77" s="48"/>
      <c r="N77" s="49"/>
      <c r="Q77" s="48"/>
      <c r="R77" s="50"/>
      <c r="S77" s="50"/>
      <c r="T77" s="50"/>
      <c r="U77" s="50"/>
    </row>
    <row r="78" ht="22.5" customHeight="1">
      <c r="A78" s="25"/>
      <c r="B78" s="22" t="s">
        <v>148</v>
      </c>
      <c r="C78" s="23" t="s">
        <v>31</v>
      </c>
      <c r="D78" s="3" t="s">
        <v>17</v>
      </c>
      <c r="E78" s="9">
        <v>2.0</v>
      </c>
      <c r="F78" s="24">
        <v>45811.0</v>
      </c>
      <c r="G78" s="14">
        <f t="shared" si="1"/>
        <v>1.899335233</v>
      </c>
      <c r="H78" s="17">
        <f t="shared" si="2"/>
        <v>98.57549858</v>
      </c>
      <c r="I78" s="9">
        <v>2.5</v>
      </c>
      <c r="J78" s="52">
        <v>45811.0</v>
      </c>
      <c r="K78" s="18">
        <v>98.57549857549861</v>
      </c>
      <c r="M78" s="48"/>
      <c r="N78" s="51"/>
      <c r="Q78" s="48"/>
      <c r="R78" s="50"/>
      <c r="S78" s="50"/>
      <c r="T78" s="50"/>
      <c r="U78" s="50"/>
    </row>
    <row r="79" ht="22.5" customHeight="1">
      <c r="A79" s="25"/>
      <c r="B79" s="22" t="s">
        <v>149</v>
      </c>
      <c r="C79" s="9" t="s">
        <v>138</v>
      </c>
      <c r="D79" s="3" t="s">
        <v>17</v>
      </c>
      <c r="E79" s="9">
        <v>1.0</v>
      </c>
      <c r="F79" s="24">
        <v>45811.0</v>
      </c>
      <c r="G79" s="14">
        <f t="shared" si="1"/>
        <v>0.9496676163</v>
      </c>
      <c r="H79" s="17">
        <f t="shared" si="2"/>
        <v>99.52516619</v>
      </c>
      <c r="I79" s="9">
        <v>1.0</v>
      </c>
      <c r="J79" s="52">
        <v>45811.0</v>
      </c>
      <c r="K79" s="19">
        <v>99.5251661918329</v>
      </c>
      <c r="M79" s="48"/>
      <c r="N79" s="49"/>
      <c r="Q79" s="48"/>
      <c r="R79" s="50"/>
      <c r="S79" s="50"/>
      <c r="T79" s="50"/>
      <c r="U79" s="50"/>
    </row>
    <row r="80" ht="22.5" customHeight="1">
      <c r="A80" s="25"/>
      <c r="B80" s="22" t="s">
        <v>150</v>
      </c>
      <c r="C80" s="23" t="s">
        <v>151</v>
      </c>
      <c r="D80" s="3" t="s">
        <v>152</v>
      </c>
      <c r="E80" s="9">
        <v>0.5</v>
      </c>
      <c r="F80" s="24">
        <v>45812.0</v>
      </c>
      <c r="G80" s="14">
        <f t="shared" si="1"/>
        <v>0.4748338082</v>
      </c>
      <c r="H80" s="17">
        <f t="shared" si="2"/>
        <v>100</v>
      </c>
      <c r="I80" s="9">
        <v>0.5</v>
      </c>
      <c r="J80" s="53"/>
      <c r="K80" s="18">
        <v>100.00000000000004</v>
      </c>
      <c r="N80" s="54"/>
    </row>
    <row r="81" ht="22.5" customHeight="1">
      <c r="A81" s="25"/>
      <c r="B81" s="22"/>
      <c r="C81" s="23"/>
      <c r="D81" s="55"/>
      <c r="E81" s="9"/>
      <c r="F81" s="56"/>
      <c r="G81" s="14"/>
      <c r="H81" s="17"/>
      <c r="I81" s="10"/>
      <c r="J81" s="53"/>
      <c r="K81" s="18"/>
      <c r="N81" s="54"/>
    </row>
    <row r="82" ht="22.5" customHeight="1">
      <c r="A82" s="9" t="s">
        <v>153</v>
      </c>
      <c r="B82" s="22"/>
      <c r="C82" s="23"/>
      <c r="D82" s="3"/>
      <c r="E82" s="9">
        <f>SUM(E6:E80)</f>
        <v>105.3</v>
      </c>
      <c r="F82" s="56"/>
      <c r="G82" s="14">
        <v>100.0</v>
      </c>
      <c r="H82" s="12"/>
      <c r="I82" s="10"/>
      <c r="J82" s="53"/>
      <c r="K82" s="18"/>
      <c r="N82" s="54"/>
    </row>
    <row r="83">
      <c r="O83" s="6"/>
    </row>
    <row r="84">
      <c r="O84" s="6"/>
    </row>
    <row r="85">
      <c r="O85" s="6"/>
    </row>
    <row r="88" ht="22.5" customHeight="1">
      <c r="A88" s="57" t="s">
        <v>154</v>
      </c>
      <c r="B88" s="57" t="s">
        <v>155</v>
      </c>
      <c r="C88" s="58" t="s">
        <v>156</v>
      </c>
      <c r="D88" s="58" t="s">
        <v>157</v>
      </c>
      <c r="E88" s="59" t="s">
        <v>158</v>
      </c>
      <c r="F88" s="59" t="s">
        <v>159</v>
      </c>
      <c r="G88" s="59" t="s">
        <v>160</v>
      </c>
      <c r="H88" s="5"/>
      <c r="I88" s="60" t="s">
        <v>99</v>
      </c>
      <c r="J88" s="61" t="s">
        <v>161</v>
      </c>
      <c r="K88" s="61" t="s">
        <v>162</v>
      </c>
      <c r="L88" s="61" t="s">
        <v>163</v>
      </c>
      <c r="M88" s="61" t="s">
        <v>164</v>
      </c>
      <c r="N88" s="61" t="s">
        <v>165</v>
      </c>
    </row>
    <row r="89" ht="22.5" customHeight="1">
      <c r="A89" s="10" t="s">
        <v>166</v>
      </c>
      <c r="B89" s="62">
        <v>9.0</v>
      </c>
      <c r="C89" s="9" t="s">
        <v>167</v>
      </c>
      <c r="D89" s="9" t="s">
        <v>168</v>
      </c>
      <c r="E89" s="9" t="s">
        <v>169</v>
      </c>
      <c r="F89" s="9" t="s">
        <v>168</v>
      </c>
      <c r="G89" s="10" t="s">
        <v>170</v>
      </c>
      <c r="H89" s="5"/>
      <c r="I89" s="63"/>
      <c r="J89" s="64">
        <v>4.0</v>
      </c>
      <c r="K89" s="64">
        <v>2.0</v>
      </c>
      <c r="L89" s="64">
        <v>1.0</v>
      </c>
      <c r="M89" s="64">
        <v>5.0</v>
      </c>
      <c r="N89" s="65">
        <f>SUM(J89:M89)</f>
        <v>12</v>
      </c>
    </row>
    <row r="90" ht="22.5" customHeight="1">
      <c r="A90" s="10" t="s">
        <v>171</v>
      </c>
      <c r="B90" s="62">
        <v>10.0</v>
      </c>
      <c r="C90" s="9" t="s">
        <v>172</v>
      </c>
      <c r="D90" s="9" t="s">
        <v>172</v>
      </c>
      <c r="E90" s="9" t="s">
        <v>172</v>
      </c>
      <c r="F90" s="9" t="s">
        <v>172</v>
      </c>
      <c r="G90" s="9" t="s">
        <v>172</v>
      </c>
      <c r="H90" s="5"/>
      <c r="I90" s="63"/>
      <c r="J90" s="64">
        <v>2.0</v>
      </c>
      <c r="K90" s="64">
        <v>2.0</v>
      </c>
      <c r="L90" s="64">
        <v>4.0</v>
      </c>
      <c r="M90" s="64">
        <v>3.0</v>
      </c>
      <c r="N90" s="65">
        <f t="shared" ref="N90:N100" si="3">SUM(J90:M90) + N89</f>
        <v>23</v>
      </c>
    </row>
    <row r="91" ht="22.5" customHeight="1">
      <c r="A91" s="10" t="s">
        <v>173</v>
      </c>
      <c r="B91" s="62">
        <v>10.0</v>
      </c>
      <c r="C91" s="9" t="s">
        <v>174</v>
      </c>
      <c r="D91" s="9" t="s">
        <v>174</v>
      </c>
      <c r="E91" s="9" t="s">
        <v>174</v>
      </c>
      <c r="F91" s="9" t="s">
        <v>174</v>
      </c>
      <c r="G91" s="9" t="s">
        <v>174</v>
      </c>
      <c r="H91" s="5"/>
      <c r="I91" s="63"/>
      <c r="J91" s="64">
        <v>0.0</v>
      </c>
      <c r="K91" s="64">
        <v>0.0</v>
      </c>
      <c r="L91" s="64">
        <v>0.0</v>
      </c>
      <c r="M91" s="64">
        <v>0.0</v>
      </c>
      <c r="N91" s="65">
        <f t="shared" si="3"/>
        <v>23</v>
      </c>
    </row>
    <row r="92" ht="22.5" customHeight="1">
      <c r="A92" s="10" t="s">
        <v>175</v>
      </c>
      <c r="B92" s="62">
        <v>12.0</v>
      </c>
      <c r="C92" s="9" t="s">
        <v>176</v>
      </c>
      <c r="D92" s="9" t="s">
        <v>177</v>
      </c>
      <c r="E92" s="9" t="s">
        <v>176</v>
      </c>
      <c r="F92" s="9" t="s">
        <v>178</v>
      </c>
      <c r="G92" s="66" t="s">
        <v>179</v>
      </c>
      <c r="H92" s="3"/>
      <c r="I92" s="63"/>
      <c r="J92" s="64">
        <v>2.0</v>
      </c>
      <c r="K92" s="64">
        <v>5.0</v>
      </c>
      <c r="L92" s="64">
        <v>2.0</v>
      </c>
      <c r="M92" s="64">
        <v>4.0</v>
      </c>
      <c r="N92" s="65">
        <f t="shared" si="3"/>
        <v>36</v>
      </c>
    </row>
    <row r="93" ht="22.5" customHeight="1">
      <c r="A93" s="5"/>
      <c r="B93" s="5"/>
      <c r="C93" s="21"/>
      <c r="D93" s="21"/>
      <c r="E93" s="5"/>
      <c r="F93" s="5"/>
      <c r="G93" s="5"/>
      <c r="H93" s="5"/>
      <c r="I93" s="63"/>
      <c r="J93" s="64">
        <v>2.0</v>
      </c>
      <c r="K93" s="64">
        <v>3.0</v>
      </c>
      <c r="L93" s="64">
        <v>3.0</v>
      </c>
      <c r="M93" s="64">
        <v>2.0</v>
      </c>
      <c r="N93" s="65">
        <f t="shared" si="3"/>
        <v>46</v>
      </c>
    </row>
    <row r="94" ht="22.5" customHeight="1">
      <c r="A94" s="5"/>
      <c r="B94" s="5"/>
      <c r="C94" s="21"/>
      <c r="D94" s="21"/>
      <c r="E94" s="5"/>
      <c r="F94" s="5"/>
      <c r="G94" s="5"/>
      <c r="H94" s="5"/>
      <c r="I94" s="67"/>
      <c r="J94" s="64">
        <v>2.0</v>
      </c>
      <c r="K94" s="64">
        <v>3.0</v>
      </c>
      <c r="L94" s="64">
        <v>2.0</v>
      </c>
      <c r="M94" s="64">
        <v>2.0</v>
      </c>
      <c r="N94" s="65">
        <f t="shared" si="3"/>
        <v>55</v>
      </c>
    </row>
    <row r="95" ht="22.5" customHeight="1">
      <c r="A95" s="3"/>
      <c r="B95" s="57" t="s">
        <v>154</v>
      </c>
      <c r="C95" s="8" t="s">
        <v>180</v>
      </c>
      <c r="D95" s="57" t="s">
        <v>181</v>
      </c>
      <c r="E95" s="21"/>
      <c r="F95" s="21"/>
      <c r="G95" s="5"/>
      <c r="H95" s="5"/>
      <c r="I95" s="67"/>
      <c r="J95" s="68">
        <v>2.0</v>
      </c>
      <c r="K95" s="68">
        <v>3.0</v>
      </c>
      <c r="L95" s="68">
        <v>2.0</v>
      </c>
      <c r="M95" s="68">
        <v>3.0</v>
      </c>
      <c r="N95" s="65">
        <f t="shared" si="3"/>
        <v>65</v>
      </c>
    </row>
    <row r="96" ht="22.5" customHeight="1">
      <c r="A96" s="3"/>
      <c r="B96" s="10" t="s">
        <v>166</v>
      </c>
      <c r="C96" s="69">
        <f>SUMIF(C6:C80, "Mayela", E6:E80) + SUMIF(C6:C80, "Mayela_Responsable", E6:E80)</f>
        <v>25.6</v>
      </c>
      <c r="D96" s="12">
        <f>SUMIF(C6:C80, "Mayela", I6:I80) + SUMIF(C6:C80, "Mayela_Responsable", I6:I80)</f>
        <v>26.5</v>
      </c>
      <c r="E96" s="21"/>
      <c r="F96" s="21"/>
      <c r="G96" s="5"/>
      <c r="H96" s="5"/>
      <c r="I96" s="67"/>
      <c r="J96" s="68">
        <v>5.0</v>
      </c>
      <c r="K96" s="68">
        <v>3.0</v>
      </c>
      <c r="L96" s="68">
        <v>2.0</v>
      </c>
      <c r="M96" s="68">
        <v>2.0</v>
      </c>
      <c r="N96" s="65">
        <f t="shared" si="3"/>
        <v>77</v>
      </c>
    </row>
    <row r="97" ht="22.5" customHeight="1">
      <c r="A97" s="3"/>
      <c r="B97" s="10" t="s">
        <v>171</v>
      </c>
      <c r="C97" s="69">
        <f>SUMIF(C6:C80, "Antonio", E6:E80) + SUMIF(C6:C80, "Antonio_Responsable", E6:E80)</f>
        <v>26.1</v>
      </c>
      <c r="D97" s="12">
        <f>SUMIF(C6:C80, "Antonio", I6:I80) + SUMIF(C6:C80, "Antonio_Responsable", I6:I80)</f>
        <v>27</v>
      </c>
      <c r="E97" s="21"/>
      <c r="F97" s="70"/>
      <c r="G97" s="5"/>
      <c r="H97" s="5"/>
      <c r="I97" s="67"/>
      <c r="J97" s="71">
        <v>5.0</v>
      </c>
      <c r="K97" s="71">
        <v>5.0</v>
      </c>
      <c r="L97" s="71">
        <v>2.0</v>
      </c>
      <c r="M97" s="71">
        <v>3.0</v>
      </c>
      <c r="N97" s="65">
        <f t="shared" si="3"/>
        <v>92</v>
      </c>
    </row>
    <row r="98" ht="22.5" customHeight="1">
      <c r="A98" s="3"/>
      <c r="B98" s="10" t="s">
        <v>173</v>
      </c>
      <c r="C98" s="69">
        <f>SUMIF(C6:C80, "Sebastian", E6:E80) + SUMIF(C6:C80, "Sebastian_Responsable", E6:E80)</f>
        <v>27.4</v>
      </c>
      <c r="D98" s="69">
        <f>SUMIF(C6:C80, "Sebastian", I6:I80) + SUMIF(C6:C80, "Sebastian_Responsable", I6:I80)</f>
        <v>28.1</v>
      </c>
      <c r="E98" s="21"/>
      <c r="F98" s="21"/>
      <c r="G98" s="5"/>
      <c r="H98" s="5"/>
      <c r="I98" s="67"/>
      <c r="J98" s="71">
        <v>2.0</v>
      </c>
      <c r="K98" s="71">
        <v>3.0</v>
      </c>
      <c r="L98" s="71">
        <v>2.0</v>
      </c>
      <c r="M98" s="71">
        <v>3.0</v>
      </c>
      <c r="N98" s="65">
        <f t="shared" si="3"/>
        <v>102</v>
      </c>
    </row>
    <row r="99" ht="22.5" customHeight="1">
      <c r="A99" s="3"/>
      <c r="B99" s="10" t="s">
        <v>175</v>
      </c>
      <c r="C99" s="69">
        <f>SUMIF(C6:C80, "Angel", E6:E80) + SUMIF(C6:C80, "Angel_Responsable", E6:E80)</f>
        <v>26.2</v>
      </c>
      <c r="D99" s="12">
        <f>SUMIF(C6:C80, "Angel", I6:I80) + SUMIF(C6:C80, "Angel_Responsable", I6:I80)</f>
        <v>27</v>
      </c>
      <c r="E99" s="5"/>
      <c r="F99" s="5"/>
      <c r="G99" s="5"/>
      <c r="H99" s="5"/>
      <c r="I99" s="67"/>
      <c r="J99" s="72">
        <v>4.0</v>
      </c>
      <c r="K99" s="72">
        <v>3.0</v>
      </c>
      <c r="L99" s="72">
        <v>2.0</v>
      </c>
      <c r="M99" s="72">
        <v>2.0</v>
      </c>
      <c r="N99" s="65">
        <f t="shared" si="3"/>
        <v>113</v>
      </c>
    </row>
    <row r="100" ht="22.5" customHeight="1">
      <c r="A100" s="6"/>
      <c r="B100" s="12"/>
      <c r="C100" s="73">
        <f t="shared" ref="C100:D100" si="4">SUM(C96:C99)</f>
        <v>105.3</v>
      </c>
      <c r="D100" s="73">
        <f t="shared" si="4"/>
        <v>108.6</v>
      </c>
      <c r="E100" s="5"/>
      <c r="F100" s="5"/>
      <c r="G100" s="5"/>
      <c r="H100" s="5"/>
      <c r="I100" s="67"/>
      <c r="J100" s="72">
        <v>2.0</v>
      </c>
      <c r="K100" s="72">
        <v>3.0</v>
      </c>
      <c r="L100" s="72">
        <v>2.0</v>
      </c>
      <c r="M100" s="72">
        <v>1.0</v>
      </c>
      <c r="N100" s="65">
        <f t="shared" si="3"/>
        <v>121</v>
      </c>
    </row>
    <row r="101" ht="22.5" customHeight="1">
      <c r="I101" s="74" t="s">
        <v>182</v>
      </c>
      <c r="J101" s="75">
        <f t="shared" ref="J101:M101" si="5">SUM(J89:J100)</f>
        <v>32</v>
      </c>
      <c r="K101" s="75">
        <f t="shared" si="5"/>
        <v>35</v>
      </c>
      <c r="L101" s="75">
        <f t="shared" si="5"/>
        <v>24</v>
      </c>
      <c r="M101" s="75">
        <f t="shared" si="5"/>
        <v>30</v>
      </c>
      <c r="N101" s="65">
        <f>SUM(J101:M101)</f>
        <v>121</v>
      </c>
    </row>
    <row r="103">
      <c r="A103" s="76"/>
      <c r="B103" s="76"/>
      <c r="C103" s="76"/>
      <c r="D103" s="77" t="s">
        <v>183</v>
      </c>
      <c r="E103" s="78">
        <f>C100/D100</f>
        <v>0.9696132597</v>
      </c>
    </row>
    <row r="104">
      <c r="A104" s="76"/>
      <c r="B104" s="76"/>
      <c r="C104" s="76"/>
      <c r="D104" s="76"/>
    </row>
    <row r="105">
      <c r="A105" s="76"/>
      <c r="B105" s="76"/>
      <c r="C105" s="76"/>
      <c r="D105" s="76"/>
    </row>
    <row r="106">
      <c r="A106" s="76"/>
      <c r="B106" s="76"/>
      <c r="C106" s="76"/>
      <c r="D106" s="76"/>
      <c r="M106" s="6"/>
      <c r="N106" s="5"/>
    </row>
    <row r="107">
      <c r="A107" s="76"/>
      <c r="B107" s="76"/>
      <c r="C107" s="76"/>
      <c r="D107" s="76"/>
      <c r="M107" s="44"/>
      <c r="N107" s="44"/>
      <c r="O107" s="44"/>
    </row>
    <row r="108">
      <c r="A108" s="76"/>
      <c r="B108" s="76"/>
      <c r="C108" s="76"/>
      <c r="D108" s="76"/>
      <c r="G108" s="79"/>
      <c r="H108" s="7"/>
      <c r="L108" s="7"/>
      <c r="M108" s="44"/>
      <c r="N108" s="44"/>
      <c r="O108" s="44"/>
    </row>
    <row r="109">
      <c r="A109" s="76"/>
      <c r="B109" s="76"/>
      <c r="C109" s="76"/>
      <c r="D109" s="76"/>
      <c r="G109" s="79"/>
      <c r="H109" s="80"/>
      <c r="L109" s="81"/>
      <c r="M109" s="44"/>
      <c r="N109" s="44"/>
      <c r="O109" s="44"/>
    </row>
    <row r="110">
      <c r="A110" s="76"/>
      <c r="B110" s="76"/>
      <c r="C110" s="76"/>
      <c r="D110" s="76"/>
      <c r="G110" s="79"/>
      <c r="H110" s="82"/>
      <c r="L110" s="5"/>
      <c r="M110" s="44"/>
      <c r="N110" s="44"/>
      <c r="O110" s="44"/>
    </row>
    <row r="111">
      <c r="A111" s="76"/>
      <c r="B111" s="76"/>
      <c r="C111" s="76"/>
      <c r="D111" s="76"/>
      <c r="G111" s="83"/>
      <c r="H111" s="80"/>
      <c r="L111" s="6"/>
      <c r="M111" s="44"/>
      <c r="N111" s="44"/>
      <c r="O111" s="44"/>
    </row>
    <row r="112">
      <c r="A112" s="76"/>
      <c r="B112" s="76"/>
      <c r="C112" s="76"/>
      <c r="D112" s="76"/>
      <c r="G112" s="79"/>
      <c r="H112" s="80"/>
      <c r="L112" s="6"/>
      <c r="M112" s="44"/>
      <c r="N112" s="44"/>
      <c r="O112" s="44"/>
    </row>
    <row r="113">
      <c r="A113" s="76"/>
      <c r="B113" s="76"/>
      <c r="C113" s="76"/>
      <c r="D113" s="76"/>
      <c r="G113" s="84"/>
      <c r="H113" s="80"/>
      <c r="L113" s="6"/>
      <c r="M113" s="44"/>
      <c r="N113" s="44"/>
      <c r="O113" s="44"/>
    </row>
    <row r="114">
      <c r="A114" s="76"/>
      <c r="B114" s="76"/>
      <c r="C114" s="76"/>
      <c r="D114" s="76"/>
      <c r="G114" s="84"/>
      <c r="H114" s="80"/>
      <c r="L114" s="6"/>
      <c r="M114" s="44"/>
      <c r="N114" s="44"/>
      <c r="O114" s="44"/>
    </row>
    <row r="115">
      <c r="A115" s="76"/>
      <c r="B115" s="76"/>
      <c r="C115" s="76"/>
      <c r="D115" s="76"/>
      <c r="G115" s="84"/>
      <c r="H115" s="80"/>
      <c r="L115" s="6"/>
      <c r="M115" s="44"/>
      <c r="N115" s="44"/>
      <c r="O115" s="44"/>
    </row>
    <row r="116">
      <c r="A116" s="76"/>
      <c r="B116" s="76"/>
      <c r="C116" s="76"/>
      <c r="D116" s="76"/>
      <c r="G116" s="84"/>
      <c r="H116" s="80"/>
      <c r="I116" s="6"/>
      <c r="J116" s="6"/>
      <c r="K116" s="6"/>
      <c r="L116" s="6"/>
      <c r="M116" s="6"/>
      <c r="N116" s="5"/>
    </row>
    <row r="117">
      <c r="A117" s="76"/>
      <c r="B117" s="76"/>
      <c r="C117" s="76"/>
      <c r="D117" s="76"/>
      <c r="G117" s="84"/>
      <c r="H117" s="80"/>
      <c r="M117" s="6"/>
      <c r="N117" s="5"/>
    </row>
    <row r="118">
      <c r="A118" s="76"/>
      <c r="B118" s="76"/>
      <c r="C118" s="76"/>
      <c r="D118" s="76"/>
      <c r="G118" s="84"/>
      <c r="H118" s="80"/>
      <c r="M118" s="6"/>
      <c r="N118" s="5"/>
    </row>
    <row r="119">
      <c r="A119" s="76"/>
      <c r="B119" s="76"/>
      <c r="C119" s="76"/>
      <c r="D119" s="76"/>
      <c r="G119" s="84"/>
      <c r="H119" s="80"/>
      <c r="M119" s="6"/>
      <c r="N119" s="5"/>
    </row>
    <row r="120">
      <c r="A120" s="76"/>
      <c r="B120" s="76"/>
      <c r="C120" s="76"/>
      <c r="D120" s="76"/>
      <c r="G120" s="84"/>
      <c r="H120" s="80"/>
      <c r="M120" s="6"/>
      <c r="N120" s="5"/>
    </row>
    <row r="121">
      <c r="A121" s="76"/>
      <c r="B121" s="76"/>
      <c r="C121" s="76"/>
      <c r="D121" s="76"/>
      <c r="G121" s="84"/>
      <c r="H121" s="80"/>
      <c r="M121" s="6"/>
      <c r="N121" s="5"/>
    </row>
    <row r="122">
      <c r="A122" s="76"/>
      <c r="B122" s="76"/>
      <c r="C122" s="76"/>
      <c r="D122" s="76"/>
      <c r="G122" s="84"/>
      <c r="H122" s="80"/>
      <c r="M122" s="6"/>
      <c r="N122" s="5"/>
    </row>
    <row r="123">
      <c r="A123" s="76"/>
      <c r="B123" s="76"/>
      <c r="C123" s="76"/>
      <c r="D123" s="76"/>
      <c r="E123" s="85"/>
      <c r="F123" s="84"/>
      <c r="G123" s="84"/>
      <c r="H123" s="80"/>
      <c r="M123" s="5"/>
      <c r="N123" s="5"/>
    </row>
    <row r="124">
      <c r="A124" s="76"/>
      <c r="B124" s="76"/>
      <c r="C124" s="76"/>
      <c r="D124" s="76"/>
      <c r="E124" s="6"/>
      <c r="F124" s="84"/>
      <c r="G124" s="84"/>
      <c r="H124" s="80"/>
      <c r="M124" s="6"/>
      <c r="N124" s="5"/>
    </row>
    <row r="125">
      <c r="A125" s="76"/>
      <c r="B125" s="76"/>
      <c r="C125" s="76"/>
      <c r="D125" s="76"/>
      <c r="E125" s="6"/>
      <c r="F125" s="84"/>
      <c r="G125" s="84"/>
      <c r="H125" s="80"/>
      <c r="I125" s="6"/>
      <c r="J125" s="6"/>
      <c r="K125" s="6"/>
      <c r="L125" s="6"/>
      <c r="M125" s="6"/>
      <c r="N125" s="5"/>
    </row>
    <row r="126">
      <c r="A126" s="76"/>
      <c r="B126" s="76"/>
      <c r="C126" s="76"/>
      <c r="D126" s="76"/>
      <c r="F126" s="84"/>
      <c r="G126" s="84"/>
      <c r="H126" s="80"/>
      <c r="I126" s="6"/>
      <c r="J126" s="6"/>
      <c r="K126" s="6"/>
      <c r="L126" s="6"/>
      <c r="M126" s="6"/>
      <c r="N126" s="5"/>
    </row>
    <row r="127">
      <c r="A127" s="76"/>
      <c r="B127" s="76"/>
      <c r="C127" s="76"/>
      <c r="D127" s="76"/>
      <c r="F127" s="84"/>
      <c r="G127" s="84"/>
      <c r="H127" s="80"/>
      <c r="I127" s="6"/>
      <c r="J127" s="6"/>
      <c r="K127" s="6"/>
      <c r="L127" s="6"/>
      <c r="M127" s="6"/>
      <c r="N127" s="5"/>
    </row>
    <row r="128">
      <c r="A128" s="76"/>
      <c r="B128" s="76"/>
      <c r="C128" s="76"/>
      <c r="D128" s="76"/>
      <c r="F128" s="84"/>
      <c r="G128" s="84"/>
      <c r="H128" s="80"/>
      <c r="I128" s="6"/>
      <c r="J128" s="6"/>
      <c r="K128" s="6"/>
      <c r="L128" s="6"/>
      <c r="M128" s="6"/>
      <c r="N128" s="5"/>
    </row>
    <row r="129">
      <c r="A129" s="76"/>
      <c r="B129" s="76"/>
      <c r="C129" s="76"/>
      <c r="D129" s="76"/>
      <c r="M129" s="6"/>
      <c r="N129" s="5"/>
    </row>
    <row r="130">
      <c r="A130" s="76"/>
      <c r="B130" s="76"/>
      <c r="C130" s="76"/>
      <c r="D130" s="76"/>
      <c r="M130" s="6"/>
      <c r="N130" s="5"/>
    </row>
    <row r="131">
      <c r="A131" s="76"/>
      <c r="B131" s="76"/>
      <c r="C131" s="76"/>
      <c r="D131" s="76"/>
      <c r="M131" s="6"/>
      <c r="N131" s="5"/>
    </row>
    <row r="132">
      <c r="A132" s="76"/>
      <c r="B132" s="76"/>
      <c r="C132" s="76"/>
      <c r="D132" s="76"/>
      <c r="M132" s="6"/>
      <c r="N132" s="5"/>
    </row>
    <row r="133">
      <c r="A133" s="76"/>
      <c r="B133" s="76"/>
      <c r="C133" s="76"/>
      <c r="D133" s="76"/>
      <c r="M133" s="6"/>
      <c r="N133" s="5"/>
    </row>
    <row r="134">
      <c r="A134" s="76"/>
      <c r="B134" s="76"/>
      <c r="C134" s="76"/>
      <c r="D134" s="76"/>
      <c r="E134" s="85"/>
      <c r="F134" s="84"/>
      <c r="G134" s="84"/>
      <c r="H134" s="80"/>
      <c r="I134" s="6"/>
      <c r="J134" s="6"/>
      <c r="K134" s="6"/>
      <c r="L134" s="6"/>
      <c r="M134" s="6"/>
      <c r="N134" s="5"/>
    </row>
    <row r="135">
      <c r="A135" s="76"/>
      <c r="B135" s="76"/>
      <c r="C135" s="76"/>
      <c r="D135" s="76"/>
      <c r="E135" s="85"/>
      <c r="F135" s="84"/>
      <c r="G135" s="84"/>
      <c r="H135" s="80"/>
      <c r="I135" s="6"/>
      <c r="J135" s="6"/>
      <c r="K135" s="6"/>
      <c r="L135" s="6"/>
      <c r="M135" s="6"/>
      <c r="N135" s="5"/>
    </row>
    <row r="136">
      <c r="A136" s="76"/>
      <c r="B136" s="76"/>
      <c r="C136" s="76"/>
      <c r="D136" s="76"/>
      <c r="E136" s="85"/>
      <c r="F136" s="84"/>
      <c r="G136" s="84"/>
      <c r="H136" s="80"/>
      <c r="I136" s="6"/>
      <c r="J136" s="6"/>
      <c r="K136" s="6"/>
      <c r="L136" s="6"/>
      <c r="M136" s="6"/>
      <c r="N136" s="5"/>
    </row>
    <row r="137">
      <c r="A137" s="76"/>
      <c r="B137" s="76"/>
      <c r="C137" s="76"/>
      <c r="D137" s="76"/>
      <c r="E137" s="85"/>
      <c r="F137" s="84"/>
      <c r="G137" s="84"/>
      <c r="H137" s="80"/>
      <c r="I137" s="6"/>
      <c r="J137" s="6"/>
      <c r="K137" s="6"/>
      <c r="L137" s="6"/>
      <c r="M137" s="6"/>
      <c r="N137" s="5"/>
    </row>
    <row r="138">
      <c r="A138" s="76"/>
      <c r="B138" s="76"/>
      <c r="C138" s="76"/>
      <c r="D138" s="76"/>
      <c r="E138" s="85"/>
      <c r="F138" s="84"/>
      <c r="G138" s="84"/>
      <c r="H138" s="80"/>
      <c r="I138" s="6"/>
      <c r="J138" s="6"/>
      <c r="K138" s="6"/>
      <c r="L138" s="6"/>
      <c r="M138" s="6"/>
      <c r="N138" s="5"/>
    </row>
    <row r="139">
      <c r="A139" s="76"/>
      <c r="B139" s="76"/>
      <c r="C139" s="76"/>
      <c r="D139" s="76"/>
      <c r="E139" s="85"/>
      <c r="F139" s="84"/>
      <c r="G139" s="84"/>
      <c r="H139" s="80"/>
      <c r="I139" s="6"/>
      <c r="J139" s="6"/>
      <c r="K139" s="6"/>
      <c r="L139" s="6"/>
      <c r="M139" s="6"/>
      <c r="N139" s="5"/>
    </row>
    <row r="140">
      <c r="A140" s="76"/>
      <c r="B140" s="76"/>
      <c r="C140" s="76"/>
      <c r="D140" s="76"/>
      <c r="E140" s="85"/>
      <c r="F140" s="84"/>
      <c r="G140" s="84"/>
      <c r="H140" s="80"/>
      <c r="I140" s="6"/>
      <c r="J140" s="6"/>
      <c r="K140" s="6"/>
      <c r="L140" s="6"/>
      <c r="M140" s="6"/>
      <c r="N140" s="5"/>
    </row>
    <row r="141">
      <c r="A141" s="76"/>
      <c r="B141" s="76"/>
      <c r="C141" s="76"/>
      <c r="D141" s="76"/>
      <c r="E141" s="85"/>
      <c r="F141" s="84"/>
      <c r="G141" s="84"/>
      <c r="H141" s="80"/>
      <c r="I141" s="6"/>
      <c r="J141" s="6"/>
      <c r="K141" s="6"/>
      <c r="L141" s="6"/>
      <c r="M141" s="6"/>
      <c r="N141" s="5"/>
    </row>
    <row r="142">
      <c r="A142" s="76"/>
      <c r="B142" s="76"/>
      <c r="C142" s="76"/>
      <c r="D142" s="76"/>
      <c r="E142" s="85"/>
      <c r="F142" s="84"/>
      <c r="G142" s="84"/>
      <c r="H142" s="80"/>
      <c r="I142" s="6"/>
      <c r="J142" s="6"/>
      <c r="K142" s="6"/>
      <c r="L142" s="6"/>
      <c r="M142" s="6"/>
      <c r="N142" s="5"/>
    </row>
    <row r="143">
      <c r="A143" s="76"/>
      <c r="B143" s="76"/>
      <c r="C143" s="76"/>
      <c r="D143" s="76"/>
      <c r="E143" s="85"/>
      <c r="F143" s="84"/>
      <c r="G143" s="84"/>
      <c r="H143" s="80"/>
      <c r="I143" s="6"/>
      <c r="J143" s="5"/>
      <c r="K143" s="5"/>
      <c r="L143" s="5"/>
      <c r="M143" s="6"/>
      <c r="N143" s="5"/>
    </row>
    <row r="144">
      <c r="A144" s="76"/>
      <c r="B144" s="76"/>
      <c r="C144" s="76"/>
      <c r="D144" s="76"/>
      <c r="E144" s="85"/>
      <c r="F144" s="84"/>
      <c r="G144" s="84"/>
      <c r="H144" s="80"/>
      <c r="I144" s="6"/>
      <c r="J144" s="6"/>
      <c r="K144" s="6"/>
      <c r="L144" s="6"/>
      <c r="M144" s="6"/>
      <c r="N144" s="5"/>
    </row>
    <row r="145">
      <c r="A145" s="76"/>
      <c r="B145" s="76"/>
      <c r="C145" s="76"/>
      <c r="D145" s="76"/>
      <c r="E145" s="85"/>
      <c r="F145" s="84"/>
      <c r="G145" s="84"/>
      <c r="H145" s="80"/>
      <c r="I145" s="6"/>
      <c r="J145" s="6"/>
      <c r="K145" s="6"/>
      <c r="L145" s="6"/>
      <c r="M145" s="6"/>
      <c r="N145" s="5"/>
    </row>
    <row r="146">
      <c r="A146" s="76"/>
      <c r="B146" s="76"/>
      <c r="C146" s="76"/>
      <c r="D146" s="76"/>
      <c r="E146" s="85"/>
      <c r="F146" s="84"/>
      <c r="G146" s="84"/>
      <c r="H146" s="80"/>
      <c r="I146" s="6"/>
      <c r="J146" s="6"/>
      <c r="K146" s="6"/>
      <c r="L146" s="6"/>
      <c r="M146" s="6"/>
      <c r="N146" s="5"/>
    </row>
    <row r="147">
      <c r="A147" s="76"/>
      <c r="B147" s="76"/>
      <c r="C147" s="76"/>
      <c r="D147" s="76"/>
      <c r="E147" s="85"/>
      <c r="F147" s="84"/>
      <c r="G147" s="84"/>
      <c r="H147" s="80"/>
      <c r="I147" s="6"/>
      <c r="J147" s="6"/>
      <c r="K147" s="6"/>
      <c r="L147" s="6"/>
      <c r="M147" s="6"/>
      <c r="N147" s="5"/>
    </row>
    <row r="148">
      <c r="A148" s="76"/>
      <c r="B148" s="76"/>
      <c r="C148" s="76"/>
      <c r="D148" s="76"/>
      <c r="E148" s="85"/>
      <c r="F148" s="84"/>
      <c r="G148" s="84"/>
      <c r="H148" s="80"/>
      <c r="I148" s="6"/>
      <c r="J148" s="6"/>
      <c r="K148" s="6"/>
      <c r="L148" s="6"/>
      <c r="M148" s="6"/>
      <c r="N148" s="5"/>
    </row>
    <row r="149">
      <c r="A149" s="76"/>
      <c r="B149" s="76"/>
      <c r="C149" s="76"/>
      <c r="D149" s="76"/>
      <c r="E149" s="85"/>
      <c r="F149" s="84"/>
      <c r="G149" s="84"/>
      <c r="H149" s="80"/>
      <c r="I149" s="6"/>
      <c r="J149" s="6"/>
      <c r="K149" s="6"/>
      <c r="L149" s="6"/>
      <c r="M149" s="6"/>
      <c r="N149" s="5"/>
    </row>
    <row r="150">
      <c r="A150" s="76"/>
      <c r="B150" s="76"/>
      <c r="C150" s="76"/>
      <c r="D150" s="76"/>
      <c r="E150" s="85"/>
      <c r="F150" s="84"/>
      <c r="G150" s="84"/>
      <c r="H150" s="80"/>
      <c r="I150" s="6"/>
      <c r="J150" s="6"/>
      <c r="K150" s="6"/>
      <c r="L150" s="6"/>
      <c r="M150" s="6"/>
      <c r="N150" s="5"/>
    </row>
    <row r="151">
      <c r="A151" s="76"/>
      <c r="B151" s="76"/>
      <c r="C151" s="76"/>
      <c r="D151" s="76"/>
      <c r="E151" s="85"/>
      <c r="F151" s="84"/>
      <c r="G151" s="84"/>
      <c r="H151" s="80"/>
      <c r="I151" s="6"/>
      <c r="J151" s="6"/>
      <c r="K151" s="6"/>
      <c r="L151" s="6"/>
      <c r="M151" s="6"/>
      <c r="N151" s="5"/>
    </row>
    <row r="152">
      <c r="A152" s="76"/>
      <c r="B152" s="76"/>
      <c r="C152" s="76"/>
      <c r="D152" s="76"/>
      <c r="E152" s="85"/>
      <c r="F152" s="84"/>
      <c r="G152" s="84"/>
      <c r="H152" s="80"/>
      <c r="I152" s="6"/>
      <c r="J152" s="6"/>
      <c r="K152" s="6"/>
      <c r="L152" s="6"/>
      <c r="M152" s="5"/>
      <c r="N152" s="5"/>
    </row>
    <row r="153">
      <c r="A153" s="76"/>
      <c r="B153" s="76"/>
      <c r="C153" s="76"/>
      <c r="D153" s="76"/>
      <c r="E153" s="85"/>
      <c r="F153" s="84"/>
      <c r="G153" s="84"/>
      <c r="H153" s="80"/>
      <c r="I153" s="6"/>
      <c r="J153" s="6"/>
      <c r="K153" s="6"/>
      <c r="L153" s="6"/>
      <c r="M153" s="6"/>
      <c r="N153" s="5"/>
    </row>
    <row r="154">
      <c r="A154" s="76"/>
      <c r="B154" s="76"/>
      <c r="C154" s="76"/>
      <c r="D154" s="76"/>
      <c r="E154" s="85"/>
      <c r="F154" s="84"/>
      <c r="G154" s="84"/>
      <c r="H154" s="80"/>
      <c r="I154" s="6"/>
      <c r="J154" s="6"/>
      <c r="K154" s="6"/>
      <c r="L154" s="6"/>
      <c r="M154" s="6"/>
      <c r="N154" s="5"/>
    </row>
    <row r="155">
      <c r="A155" s="76"/>
      <c r="B155" s="76"/>
      <c r="C155" s="76"/>
      <c r="D155" s="76"/>
      <c r="E155" s="85"/>
      <c r="F155" s="84"/>
      <c r="G155" s="84"/>
      <c r="H155" s="80"/>
      <c r="I155" s="6"/>
      <c r="J155" s="6"/>
      <c r="K155" s="6"/>
      <c r="L155" s="6"/>
      <c r="M155" s="5"/>
      <c r="N155" s="5"/>
    </row>
    <row r="156">
      <c r="A156" s="76"/>
      <c r="B156" s="76"/>
      <c r="C156" s="76"/>
      <c r="D156" s="76"/>
      <c r="E156" s="85"/>
      <c r="F156" s="84"/>
      <c r="G156" s="84"/>
      <c r="H156" s="80"/>
      <c r="I156" s="6"/>
      <c r="J156" s="6"/>
      <c r="K156" s="6"/>
      <c r="L156" s="6"/>
      <c r="M156" s="5"/>
      <c r="N156" s="5"/>
    </row>
    <row r="157">
      <c r="A157" s="76"/>
      <c r="B157" s="76"/>
      <c r="C157" s="76"/>
      <c r="D157" s="76"/>
      <c r="E157" s="85"/>
      <c r="F157" s="84"/>
      <c r="G157" s="84"/>
      <c r="H157" s="80"/>
      <c r="I157" s="6"/>
      <c r="J157" s="6"/>
      <c r="K157" s="6"/>
      <c r="L157" s="6"/>
      <c r="M157" s="5"/>
      <c r="N157" s="5"/>
    </row>
    <row r="158">
      <c r="A158" s="76"/>
      <c r="B158" s="76"/>
      <c r="C158" s="76"/>
      <c r="D158" s="76"/>
      <c r="E158" s="85"/>
      <c r="F158" s="84"/>
      <c r="G158" s="84"/>
      <c r="H158" s="80"/>
      <c r="I158" s="6"/>
      <c r="J158" s="6"/>
      <c r="K158" s="6"/>
      <c r="L158" s="6"/>
      <c r="M158" s="5"/>
      <c r="N158" s="5"/>
    </row>
    <row r="159">
      <c r="A159" s="76"/>
      <c r="B159" s="76"/>
      <c r="C159" s="76"/>
      <c r="D159" s="76"/>
      <c r="E159" s="85"/>
      <c r="F159" s="84"/>
      <c r="G159" s="84"/>
      <c r="H159" s="80"/>
      <c r="I159" s="6"/>
      <c r="J159" s="6"/>
      <c r="K159" s="6"/>
      <c r="L159" s="6"/>
      <c r="M159" s="5"/>
      <c r="N159" s="5"/>
    </row>
    <row r="160">
      <c r="A160" s="76"/>
      <c r="B160" s="76"/>
      <c r="C160" s="76"/>
      <c r="D160" s="76"/>
      <c r="E160" s="85"/>
      <c r="F160" s="84"/>
      <c r="G160" s="84"/>
      <c r="H160" s="80"/>
      <c r="I160" s="6"/>
      <c r="J160" s="6"/>
      <c r="K160" s="6"/>
      <c r="L160" s="6"/>
      <c r="M160" s="5"/>
      <c r="N160" s="5"/>
    </row>
    <row r="161">
      <c r="A161" s="76"/>
      <c r="B161" s="76"/>
      <c r="C161" s="76"/>
      <c r="D161" s="76"/>
      <c r="E161" s="85"/>
      <c r="F161" s="84"/>
      <c r="G161" s="84"/>
      <c r="H161" s="80"/>
      <c r="I161" s="6"/>
      <c r="J161" s="6"/>
      <c r="K161" s="6"/>
      <c r="L161" s="6"/>
      <c r="M161" s="5"/>
      <c r="N161" s="5"/>
    </row>
    <row r="162">
      <c r="A162" s="76"/>
      <c r="B162" s="76"/>
      <c r="C162" s="76"/>
      <c r="D162" s="76"/>
      <c r="E162" s="85"/>
      <c r="F162" s="84"/>
      <c r="G162" s="84"/>
      <c r="H162" s="80"/>
      <c r="I162" s="6"/>
      <c r="J162" s="6"/>
      <c r="K162" s="6"/>
      <c r="L162" s="6"/>
      <c r="M162" s="5"/>
      <c r="N162" s="5"/>
    </row>
    <row r="163">
      <c r="A163" s="76"/>
      <c r="B163" s="76"/>
      <c r="C163" s="76"/>
      <c r="D163" s="76"/>
      <c r="E163" s="85"/>
      <c r="F163" s="84"/>
      <c r="G163" s="84"/>
      <c r="H163" s="80"/>
      <c r="I163" s="6"/>
      <c r="J163" s="6"/>
      <c r="K163" s="6"/>
      <c r="L163" s="6"/>
      <c r="M163" s="5"/>
      <c r="N163" s="5"/>
    </row>
    <row r="164">
      <c r="A164" s="76"/>
      <c r="B164" s="76"/>
      <c r="C164" s="76"/>
      <c r="D164" s="76"/>
      <c r="E164" s="85"/>
      <c r="F164" s="84"/>
      <c r="G164" s="84"/>
      <c r="H164" s="80"/>
      <c r="I164" s="6"/>
      <c r="J164" s="6"/>
      <c r="K164" s="6"/>
      <c r="L164" s="6"/>
      <c r="M164" s="5"/>
      <c r="N164" s="5"/>
    </row>
    <row r="165">
      <c r="A165" s="76"/>
      <c r="B165" s="76"/>
      <c r="C165" s="76"/>
      <c r="D165" s="76"/>
      <c r="E165" s="85"/>
      <c r="F165" s="84"/>
      <c r="G165" s="84"/>
      <c r="H165" s="80"/>
      <c r="I165" s="6"/>
      <c r="J165" s="6"/>
      <c r="K165" s="6"/>
      <c r="L165" s="6"/>
      <c r="M165" s="5"/>
      <c r="N165" s="5"/>
    </row>
    <row r="166">
      <c r="A166" s="76"/>
      <c r="B166" s="76"/>
      <c r="C166" s="76"/>
      <c r="D166" s="76"/>
      <c r="E166" s="85"/>
      <c r="F166" s="84"/>
      <c r="G166" s="84"/>
      <c r="H166" s="80"/>
      <c r="I166" s="6"/>
      <c r="J166" s="6"/>
      <c r="K166" s="6"/>
      <c r="L166" s="6"/>
      <c r="M166" s="5"/>
      <c r="N166" s="5"/>
    </row>
    <row r="167">
      <c r="A167" s="76"/>
      <c r="B167" s="76"/>
      <c r="C167" s="76"/>
      <c r="D167" s="76"/>
      <c r="E167" s="85"/>
      <c r="F167" s="84"/>
      <c r="G167" s="84"/>
      <c r="H167" s="80"/>
      <c r="I167" s="6"/>
      <c r="J167" s="6"/>
      <c r="K167" s="6"/>
      <c r="L167" s="6"/>
      <c r="M167" s="5"/>
      <c r="N167" s="5"/>
    </row>
    <row r="168">
      <c r="A168" s="76"/>
      <c r="B168" s="76"/>
      <c r="C168" s="76"/>
      <c r="D168" s="76"/>
      <c r="E168" s="85"/>
      <c r="F168" s="84"/>
      <c r="G168" s="84"/>
      <c r="H168" s="80"/>
      <c r="I168" s="6"/>
      <c r="J168" s="6"/>
      <c r="K168" s="6"/>
      <c r="L168" s="6"/>
      <c r="M168" s="5"/>
      <c r="N168" s="5"/>
    </row>
    <row r="169">
      <c r="A169" s="76"/>
      <c r="B169" s="76"/>
      <c r="C169" s="76"/>
      <c r="D169" s="76"/>
      <c r="E169" s="85"/>
      <c r="F169" s="84"/>
      <c r="G169" s="84"/>
      <c r="H169" s="80"/>
      <c r="I169" s="6"/>
      <c r="J169" s="6"/>
      <c r="K169" s="6"/>
      <c r="L169" s="6"/>
    </row>
    <row r="170">
      <c r="A170" s="76"/>
      <c r="B170" s="76"/>
      <c r="C170" s="76"/>
      <c r="D170" s="76"/>
      <c r="E170" s="85"/>
      <c r="F170" s="84"/>
      <c r="G170" s="84"/>
      <c r="H170" s="80"/>
      <c r="I170" s="6"/>
      <c r="J170" s="6"/>
      <c r="K170" s="6"/>
      <c r="L170" s="6"/>
    </row>
    <row r="171">
      <c r="A171" s="76"/>
      <c r="B171" s="76"/>
      <c r="C171" s="76"/>
      <c r="D171" s="76"/>
      <c r="E171" s="85"/>
      <c r="F171" s="84"/>
      <c r="G171" s="84"/>
      <c r="H171" s="80"/>
      <c r="I171" s="6"/>
      <c r="J171" s="6"/>
      <c r="K171" s="6"/>
      <c r="L171" s="6"/>
    </row>
    <row r="172">
      <c r="A172" s="76"/>
      <c r="B172" s="76"/>
      <c r="C172" s="76"/>
      <c r="D172" s="76"/>
      <c r="E172" s="85"/>
      <c r="F172" s="84"/>
      <c r="G172" s="84"/>
      <c r="H172" s="86"/>
      <c r="I172" s="6"/>
      <c r="J172" s="5"/>
      <c r="K172" s="5"/>
      <c r="L172" s="5"/>
    </row>
    <row r="173">
      <c r="A173" s="76"/>
      <c r="B173" s="76"/>
      <c r="C173" s="76"/>
      <c r="D173" s="76"/>
      <c r="E173" s="85"/>
      <c r="F173" s="84"/>
      <c r="G173" s="84"/>
      <c r="H173" s="80"/>
      <c r="I173" s="6"/>
      <c r="J173" s="6"/>
      <c r="K173" s="6"/>
      <c r="L173" s="6"/>
    </row>
    <row r="174">
      <c r="A174" s="76"/>
      <c r="B174" s="76"/>
      <c r="C174" s="76"/>
      <c r="D174" s="76"/>
      <c r="E174" s="85"/>
      <c r="F174" s="84"/>
      <c r="G174" s="84"/>
      <c r="H174" s="80"/>
      <c r="I174" s="6"/>
      <c r="J174" s="6"/>
      <c r="K174" s="5"/>
      <c r="L174" s="5"/>
    </row>
    <row r="175">
      <c r="A175" s="76"/>
      <c r="B175" s="76"/>
      <c r="C175" s="76"/>
      <c r="D175" s="76"/>
      <c r="E175" s="85"/>
      <c r="F175" s="84"/>
      <c r="G175" s="84"/>
      <c r="H175" s="86"/>
      <c r="I175" s="6"/>
      <c r="J175" s="5"/>
      <c r="K175" s="5"/>
      <c r="L175" s="5"/>
    </row>
    <row r="176">
      <c r="A176" s="76"/>
      <c r="B176" s="76"/>
      <c r="C176" s="76"/>
      <c r="D176" s="76"/>
      <c r="E176" s="85"/>
      <c r="F176" s="84"/>
      <c r="G176" s="84"/>
      <c r="H176" s="86"/>
      <c r="I176" s="6"/>
      <c r="J176" s="5"/>
      <c r="K176" s="5"/>
      <c r="L176" s="5"/>
    </row>
    <row r="177">
      <c r="A177" s="76"/>
      <c r="B177" s="76"/>
      <c r="C177" s="76"/>
      <c r="D177" s="76"/>
      <c r="E177" s="85"/>
      <c r="F177" s="84"/>
      <c r="G177" s="84"/>
      <c r="H177" s="86"/>
      <c r="I177" s="6"/>
      <c r="J177" s="5"/>
      <c r="K177" s="5"/>
      <c r="L177" s="5"/>
    </row>
    <row r="178">
      <c r="A178" s="76"/>
      <c r="B178" s="76"/>
      <c r="C178" s="76"/>
      <c r="D178" s="76"/>
      <c r="E178" s="85"/>
      <c r="F178" s="84"/>
      <c r="G178" s="84"/>
      <c r="H178" s="86"/>
      <c r="I178" s="6"/>
      <c r="J178" s="5"/>
      <c r="K178" s="5"/>
      <c r="L178" s="5"/>
    </row>
    <row r="179">
      <c r="A179" s="76"/>
      <c r="B179" s="76"/>
      <c r="C179" s="76"/>
      <c r="D179" s="76"/>
      <c r="E179" s="85"/>
      <c r="F179" s="84"/>
      <c r="G179" s="84"/>
      <c r="H179" s="86"/>
      <c r="I179" s="6"/>
      <c r="J179" s="5"/>
      <c r="K179" s="5"/>
      <c r="L179" s="5"/>
    </row>
    <row r="180">
      <c r="A180" s="76"/>
      <c r="B180" s="76"/>
      <c r="C180" s="76"/>
      <c r="D180" s="76"/>
      <c r="E180" s="85"/>
      <c r="F180" s="84"/>
      <c r="G180" s="84"/>
      <c r="H180" s="86"/>
      <c r="I180" s="6"/>
      <c r="J180" s="5"/>
      <c r="K180" s="5"/>
      <c r="L180" s="5"/>
    </row>
    <row r="181">
      <c r="A181" s="76"/>
      <c r="B181" s="76"/>
      <c r="C181" s="76"/>
      <c r="D181" s="76"/>
      <c r="E181" s="85"/>
      <c r="F181" s="84"/>
      <c r="G181" s="84"/>
      <c r="H181" s="86"/>
      <c r="I181" s="6"/>
      <c r="J181" s="5"/>
      <c r="K181" s="5"/>
      <c r="L181" s="5"/>
    </row>
    <row r="182">
      <c r="A182" s="76"/>
      <c r="B182" s="76"/>
      <c r="C182" s="76"/>
      <c r="D182" s="76"/>
      <c r="E182" s="87"/>
      <c r="F182" s="84"/>
      <c r="G182" s="84"/>
      <c r="H182" s="86"/>
      <c r="I182" s="6"/>
      <c r="J182" s="5"/>
      <c r="K182" s="5"/>
      <c r="L182" s="5"/>
    </row>
    <row r="183">
      <c r="A183" s="76"/>
      <c r="B183" s="76"/>
      <c r="C183" s="76"/>
      <c r="D183" s="76"/>
      <c r="E183" s="87"/>
      <c r="F183" s="84"/>
      <c r="G183" s="84"/>
      <c r="H183" s="82"/>
      <c r="I183" s="6"/>
      <c r="J183" s="5"/>
      <c r="K183" s="5"/>
      <c r="L183" s="5"/>
    </row>
    <row r="184">
      <c r="A184" s="76"/>
      <c r="B184" s="76"/>
      <c r="C184" s="76"/>
      <c r="D184" s="76"/>
      <c r="E184" s="87"/>
      <c r="F184" s="84"/>
      <c r="G184" s="84"/>
      <c r="H184" s="86"/>
      <c r="I184" s="6"/>
      <c r="J184" s="5"/>
      <c r="K184" s="5"/>
      <c r="L184" s="5"/>
    </row>
    <row r="185">
      <c r="A185" s="76"/>
      <c r="B185" s="76"/>
      <c r="C185" s="76"/>
      <c r="D185" s="76"/>
      <c r="E185" s="87"/>
      <c r="F185" s="84"/>
      <c r="G185" s="84"/>
      <c r="H185" s="86"/>
      <c r="I185" s="6"/>
      <c r="J185" s="5"/>
      <c r="K185" s="5"/>
      <c r="L185" s="5"/>
    </row>
    <row r="186">
      <c r="A186" s="76"/>
      <c r="B186" s="76"/>
      <c r="C186" s="76"/>
      <c r="D186" s="76"/>
      <c r="E186" s="87"/>
      <c r="F186" s="84"/>
      <c r="G186" s="84"/>
      <c r="H186" s="86"/>
      <c r="I186" s="6"/>
      <c r="J186" s="5"/>
      <c r="K186" s="5"/>
      <c r="L186" s="5"/>
    </row>
    <row r="187">
      <c r="A187" s="76"/>
      <c r="B187" s="76"/>
      <c r="C187" s="76"/>
      <c r="D187" s="76"/>
      <c r="E187" s="87"/>
      <c r="F187" s="84"/>
      <c r="G187" s="84"/>
      <c r="H187" s="86"/>
      <c r="I187" s="6"/>
      <c r="J187" s="5"/>
      <c r="K187" s="5"/>
      <c r="L187" s="5"/>
    </row>
    <row r="188">
      <c r="A188" s="76"/>
      <c r="B188" s="76"/>
      <c r="C188" s="76"/>
      <c r="D188" s="76"/>
      <c r="E188" s="87"/>
      <c r="F188" s="84"/>
      <c r="G188" s="84"/>
      <c r="H188" s="86"/>
      <c r="I188" s="6"/>
      <c r="J188" s="5"/>
      <c r="K188" s="5"/>
      <c r="L188" s="5"/>
    </row>
    <row r="189">
      <c r="A189" s="76"/>
      <c r="B189" s="76"/>
      <c r="C189" s="76"/>
      <c r="D189" s="76"/>
    </row>
    <row r="190">
      <c r="A190" s="76"/>
      <c r="B190" s="76"/>
      <c r="C190" s="76"/>
      <c r="D190" s="76"/>
    </row>
    <row r="191">
      <c r="A191" s="76"/>
      <c r="B191" s="76"/>
      <c r="C191" s="76"/>
      <c r="D191" s="76"/>
    </row>
    <row r="192">
      <c r="A192" s="76"/>
      <c r="B192" s="76"/>
      <c r="C192" s="76"/>
      <c r="D192" s="76"/>
    </row>
    <row r="193">
      <c r="A193" s="76"/>
      <c r="B193" s="76"/>
      <c r="C193" s="76"/>
      <c r="D193" s="76"/>
    </row>
    <row r="194">
      <c r="A194" s="76"/>
      <c r="B194" s="76"/>
      <c r="C194" s="76"/>
      <c r="D194" s="76"/>
    </row>
    <row r="195">
      <c r="A195" s="76"/>
      <c r="B195" s="76"/>
      <c r="C195" s="76"/>
      <c r="D195" s="76"/>
    </row>
    <row r="196">
      <c r="A196" s="76"/>
      <c r="B196" s="76"/>
      <c r="C196" s="76"/>
      <c r="D196" s="76"/>
    </row>
    <row r="197">
      <c r="A197" s="76"/>
      <c r="B197" s="76"/>
      <c r="C197" s="76"/>
      <c r="D197" s="76"/>
    </row>
    <row r="198">
      <c r="A198" s="76"/>
      <c r="B198" s="76"/>
      <c r="C198" s="76"/>
      <c r="D198" s="76"/>
    </row>
    <row r="199">
      <c r="A199" s="76"/>
      <c r="B199" s="76"/>
      <c r="C199" s="76"/>
      <c r="D199" s="76"/>
    </row>
    <row r="200">
      <c r="A200" s="76"/>
      <c r="B200" s="76"/>
      <c r="C200" s="76"/>
      <c r="D200" s="76"/>
    </row>
    <row r="201">
      <c r="A201" s="76"/>
      <c r="B201" s="76"/>
      <c r="C201" s="76"/>
      <c r="D201" s="76"/>
    </row>
    <row r="202">
      <c r="A202" s="76"/>
      <c r="B202" s="76"/>
      <c r="C202" s="76"/>
      <c r="D202" s="76"/>
    </row>
    <row r="203">
      <c r="A203" s="76"/>
      <c r="B203" s="76"/>
      <c r="C203" s="76"/>
      <c r="D203" s="76"/>
    </row>
    <row r="204">
      <c r="A204" s="76"/>
      <c r="B204" s="76"/>
      <c r="C204" s="76"/>
      <c r="D204" s="76"/>
    </row>
    <row r="205">
      <c r="A205" s="76"/>
      <c r="B205" s="76"/>
      <c r="C205" s="76"/>
      <c r="D205" s="76"/>
    </row>
    <row r="206">
      <c r="A206" s="76"/>
      <c r="B206" s="76"/>
      <c r="C206" s="76"/>
      <c r="D206" s="76"/>
      <c r="M206" s="88"/>
      <c r="N206" s="89"/>
    </row>
    <row r="207">
      <c r="A207" s="76"/>
      <c r="B207" s="76"/>
      <c r="C207" s="76"/>
      <c r="D207" s="76"/>
      <c r="M207" s="88"/>
      <c r="N207" s="89"/>
    </row>
    <row r="208">
      <c r="A208" s="76"/>
      <c r="B208" s="76"/>
      <c r="C208" s="76"/>
      <c r="D208" s="76"/>
      <c r="M208" s="88"/>
      <c r="N208" s="89"/>
    </row>
    <row r="209">
      <c r="A209" s="76"/>
      <c r="B209" s="76"/>
      <c r="C209" s="76"/>
      <c r="D209" s="76"/>
      <c r="M209" s="88"/>
      <c r="N209" s="89"/>
    </row>
    <row r="210">
      <c r="A210" s="76"/>
      <c r="B210" s="76"/>
      <c r="C210" s="76"/>
      <c r="D210" s="76"/>
      <c r="M210" s="88"/>
      <c r="N210" s="89"/>
    </row>
    <row r="211">
      <c r="A211" s="76"/>
      <c r="B211" s="76"/>
      <c r="C211" s="76"/>
      <c r="D211" s="76"/>
      <c r="M211" s="88"/>
      <c r="N211" s="89"/>
    </row>
    <row r="212">
      <c r="A212" s="76"/>
      <c r="B212" s="76"/>
      <c r="C212" s="76"/>
      <c r="D212" s="76"/>
      <c r="M212" s="88"/>
      <c r="N212" s="89"/>
    </row>
    <row r="213">
      <c r="A213" s="76"/>
      <c r="B213" s="76"/>
      <c r="C213" s="76"/>
      <c r="D213" s="76"/>
      <c r="M213" s="88"/>
      <c r="N213" s="89"/>
    </row>
    <row r="214">
      <c r="A214" s="76"/>
      <c r="B214" s="76"/>
      <c r="C214" s="76"/>
      <c r="D214" s="76"/>
      <c r="M214" s="88"/>
      <c r="N214" s="89"/>
    </row>
    <row r="215">
      <c r="A215" s="76"/>
      <c r="B215" s="76"/>
      <c r="C215" s="76"/>
      <c r="D215" s="76"/>
      <c r="M215" s="88"/>
      <c r="N215" s="89"/>
    </row>
    <row r="216">
      <c r="A216" s="76"/>
      <c r="B216" s="76"/>
      <c r="C216" s="76"/>
      <c r="D216" s="76"/>
      <c r="M216" s="88"/>
      <c r="N216" s="89"/>
    </row>
    <row r="217">
      <c r="A217" s="76"/>
      <c r="B217" s="76"/>
      <c r="C217" s="76"/>
      <c r="D217" s="76"/>
      <c r="M217" s="88"/>
      <c r="N217" s="89"/>
    </row>
    <row r="218">
      <c r="A218" s="76"/>
      <c r="B218" s="76"/>
      <c r="C218" s="76"/>
      <c r="D218" s="76"/>
      <c r="M218" s="88"/>
      <c r="N218" s="89"/>
    </row>
    <row r="219">
      <c r="A219" s="76"/>
      <c r="B219" s="76"/>
      <c r="C219" s="76"/>
      <c r="D219" s="76"/>
      <c r="M219" s="88"/>
      <c r="N219" s="89"/>
    </row>
    <row r="220">
      <c r="A220" s="76"/>
      <c r="B220" s="76"/>
      <c r="C220" s="76"/>
      <c r="D220" s="76"/>
      <c r="M220" s="88"/>
      <c r="N220" s="89"/>
    </row>
    <row r="221">
      <c r="A221" s="76"/>
      <c r="B221" s="76"/>
      <c r="C221" s="76"/>
      <c r="D221" s="76"/>
      <c r="M221" s="88"/>
      <c r="N221" s="89"/>
    </row>
    <row r="222">
      <c r="A222" s="76"/>
      <c r="B222" s="76"/>
      <c r="C222" s="76"/>
      <c r="D222" s="76"/>
      <c r="M222" s="88"/>
      <c r="N222" s="89"/>
    </row>
    <row r="223">
      <c r="A223" s="76"/>
      <c r="B223" s="76"/>
      <c r="C223" s="76"/>
      <c r="D223" s="76"/>
      <c r="M223" s="88"/>
      <c r="N223" s="89"/>
    </row>
    <row r="224">
      <c r="A224" s="76"/>
      <c r="B224" s="76"/>
      <c r="C224" s="76"/>
      <c r="D224" s="76"/>
      <c r="M224" s="88"/>
      <c r="N224" s="89"/>
    </row>
    <row r="225">
      <c r="A225" s="76"/>
      <c r="B225" s="76"/>
      <c r="C225" s="76"/>
      <c r="D225" s="76"/>
      <c r="M225" s="88"/>
      <c r="N225" s="89"/>
    </row>
    <row r="226">
      <c r="A226" s="76"/>
      <c r="B226" s="76"/>
      <c r="C226" s="76"/>
      <c r="D226" s="76"/>
      <c r="E226" s="90"/>
      <c r="F226" s="91"/>
      <c r="G226" s="91"/>
      <c r="H226" s="92"/>
      <c r="I226" s="88"/>
      <c r="J226" s="88"/>
      <c r="K226" s="88"/>
      <c r="L226" s="88"/>
      <c r="M226" s="88"/>
      <c r="N226" s="89"/>
    </row>
    <row r="227">
      <c r="A227" s="76"/>
      <c r="B227" s="76"/>
      <c r="C227" s="76"/>
      <c r="D227" s="76"/>
      <c r="E227" s="90"/>
      <c r="F227" s="91"/>
      <c r="G227" s="91"/>
      <c r="H227" s="92"/>
      <c r="I227" s="88"/>
      <c r="J227" s="88"/>
      <c r="K227" s="88"/>
      <c r="L227" s="88"/>
      <c r="M227" s="88"/>
      <c r="N227" s="89"/>
    </row>
    <row r="228">
      <c r="A228" s="76"/>
      <c r="B228" s="76"/>
      <c r="C228" s="76"/>
      <c r="D228" s="76"/>
      <c r="E228" s="90"/>
      <c r="F228" s="91"/>
      <c r="G228" s="91"/>
      <c r="H228" s="92"/>
      <c r="I228" s="88"/>
      <c r="J228" s="88"/>
      <c r="K228" s="88"/>
      <c r="L228" s="88"/>
      <c r="M228" s="88"/>
      <c r="N228" s="89"/>
    </row>
    <row r="229">
      <c r="A229" s="76"/>
      <c r="B229" s="76"/>
      <c r="C229" s="76"/>
      <c r="D229" s="76"/>
      <c r="E229" s="90"/>
      <c r="F229" s="91"/>
      <c r="G229" s="91"/>
      <c r="H229" s="92"/>
      <c r="I229" s="88"/>
      <c r="J229" s="88"/>
      <c r="K229" s="88"/>
      <c r="L229" s="88"/>
      <c r="M229" s="88"/>
      <c r="N229" s="89"/>
    </row>
    <row r="230">
      <c r="A230" s="76"/>
      <c r="B230" s="76"/>
      <c r="C230" s="76"/>
      <c r="D230" s="76"/>
      <c r="E230" s="90"/>
      <c r="F230" s="91"/>
      <c r="G230" s="91"/>
      <c r="H230" s="92"/>
      <c r="I230" s="88"/>
      <c r="J230" s="88"/>
      <c r="K230" s="88"/>
      <c r="L230" s="88"/>
      <c r="M230" s="88"/>
      <c r="N230" s="89"/>
    </row>
    <row r="231">
      <c r="A231" s="76"/>
      <c r="B231" s="76"/>
      <c r="C231" s="76"/>
      <c r="D231" s="76"/>
      <c r="E231" s="90"/>
      <c r="F231" s="91"/>
      <c r="G231" s="91"/>
      <c r="H231" s="92"/>
      <c r="I231" s="88"/>
      <c r="J231" s="88"/>
      <c r="K231" s="88"/>
      <c r="L231" s="88"/>
      <c r="M231" s="44"/>
      <c r="N231" s="44"/>
    </row>
    <row r="232">
      <c r="A232" s="76"/>
      <c r="B232" s="76"/>
      <c r="C232" s="76"/>
      <c r="D232" s="76"/>
      <c r="E232" s="90"/>
      <c r="F232" s="91"/>
      <c r="G232" s="91"/>
      <c r="H232" s="92"/>
      <c r="I232" s="88"/>
      <c r="J232" s="88"/>
      <c r="K232" s="88"/>
      <c r="L232" s="88"/>
      <c r="M232" s="44"/>
      <c r="N232" s="44"/>
    </row>
    <row r="233">
      <c r="A233" s="76"/>
      <c r="B233" s="76"/>
      <c r="C233" s="76"/>
      <c r="D233" s="76"/>
      <c r="E233" s="90"/>
      <c r="F233" s="91"/>
      <c r="G233" s="91"/>
      <c r="H233" s="92"/>
      <c r="I233" s="88"/>
      <c r="J233" s="88"/>
      <c r="K233" s="88"/>
      <c r="L233" s="88"/>
      <c r="M233" s="44"/>
      <c r="N233" s="44"/>
    </row>
    <row r="234">
      <c r="A234" s="76"/>
      <c r="B234" s="76"/>
      <c r="C234" s="76"/>
      <c r="D234" s="76"/>
      <c r="E234" s="90"/>
      <c r="F234" s="91"/>
      <c r="G234" s="91"/>
      <c r="H234" s="92"/>
      <c r="I234" s="88"/>
      <c r="J234" s="88"/>
      <c r="K234" s="88"/>
      <c r="L234" s="88"/>
      <c r="M234" s="44"/>
      <c r="N234" s="44"/>
    </row>
    <row r="235">
      <c r="A235" s="76"/>
      <c r="B235" s="76"/>
      <c r="C235" s="76"/>
      <c r="D235" s="76"/>
      <c r="E235" s="90"/>
      <c r="F235" s="91"/>
      <c r="G235" s="91"/>
      <c r="H235" s="92"/>
      <c r="I235" s="88"/>
      <c r="J235" s="88"/>
      <c r="K235" s="88"/>
      <c r="L235" s="88"/>
      <c r="M235" s="44"/>
      <c r="N235" s="44"/>
    </row>
    <row r="236">
      <c r="A236" s="76"/>
      <c r="B236" s="76"/>
      <c r="C236" s="76"/>
      <c r="D236" s="76"/>
      <c r="E236" s="90"/>
      <c r="F236" s="91"/>
      <c r="G236" s="91"/>
      <c r="H236" s="92"/>
      <c r="I236" s="88"/>
      <c r="J236" s="88"/>
      <c r="K236" s="88"/>
      <c r="L236" s="88"/>
      <c r="M236" s="44"/>
      <c r="N236" s="44"/>
    </row>
    <row r="237">
      <c r="A237" s="76"/>
      <c r="B237" s="76"/>
      <c r="C237" s="76"/>
      <c r="D237" s="76"/>
      <c r="E237" s="90"/>
      <c r="F237" s="91"/>
      <c r="G237" s="91"/>
      <c r="H237" s="92"/>
      <c r="I237" s="88"/>
      <c r="J237" s="88"/>
      <c r="K237" s="88"/>
      <c r="L237" s="88"/>
      <c r="M237" s="44"/>
      <c r="N237" s="44"/>
    </row>
    <row r="238">
      <c r="A238" s="76"/>
      <c r="B238" s="76"/>
      <c r="C238" s="76"/>
      <c r="D238" s="76"/>
      <c r="E238" s="90"/>
      <c r="F238" s="91"/>
      <c r="G238" s="91"/>
      <c r="H238" s="92"/>
      <c r="I238" s="88"/>
      <c r="J238" s="88"/>
      <c r="K238" s="88"/>
      <c r="L238" s="88"/>
      <c r="M238" s="44"/>
      <c r="N238" s="44"/>
    </row>
    <row r="239">
      <c r="A239" s="76"/>
      <c r="B239" s="76"/>
      <c r="C239" s="76"/>
      <c r="D239" s="76"/>
      <c r="E239" s="90"/>
      <c r="F239" s="91"/>
      <c r="G239" s="91"/>
      <c r="H239" s="92"/>
      <c r="I239" s="88"/>
      <c r="J239" s="88"/>
      <c r="K239" s="88"/>
      <c r="L239" s="88"/>
      <c r="M239" s="44"/>
      <c r="N239" s="44"/>
    </row>
    <row r="240">
      <c r="A240" s="76"/>
      <c r="B240" s="76"/>
      <c r="C240" s="76"/>
      <c r="D240" s="76"/>
      <c r="E240" s="90"/>
      <c r="F240" s="91"/>
      <c r="G240" s="91"/>
      <c r="H240" s="92"/>
      <c r="I240" s="88"/>
      <c r="J240" s="88"/>
      <c r="K240" s="88"/>
      <c r="L240" s="88"/>
      <c r="M240" s="44"/>
      <c r="N240" s="44"/>
    </row>
    <row r="241">
      <c r="A241" s="76"/>
      <c r="B241" s="76"/>
      <c r="C241" s="76"/>
      <c r="D241" s="76"/>
      <c r="E241" s="90"/>
      <c r="F241" s="91"/>
      <c r="G241" s="91"/>
      <c r="H241" s="92"/>
      <c r="I241" s="88"/>
      <c r="J241" s="88"/>
      <c r="K241" s="88"/>
      <c r="L241" s="88"/>
      <c r="M241" s="44"/>
      <c r="N241" s="44"/>
    </row>
    <row r="242">
      <c r="A242" s="76"/>
      <c r="B242" s="76"/>
      <c r="C242" s="76"/>
      <c r="D242" s="76"/>
      <c r="E242" s="90"/>
      <c r="F242" s="91"/>
      <c r="G242" s="91"/>
      <c r="H242" s="92"/>
      <c r="I242" s="88"/>
      <c r="J242" s="88"/>
      <c r="K242" s="88"/>
      <c r="L242" s="88"/>
      <c r="M242" s="44"/>
      <c r="N242" s="44"/>
    </row>
    <row r="243">
      <c r="A243" s="76"/>
      <c r="B243" s="76"/>
      <c r="C243" s="76"/>
      <c r="D243" s="76"/>
      <c r="E243" s="90"/>
      <c r="F243" s="91"/>
      <c r="G243" s="91"/>
      <c r="H243" s="92"/>
      <c r="I243" s="88"/>
      <c r="J243" s="88"/>
      <c r="K243" s="88"/>
      <c r="L243" s="88"/>
      <c r="M243" s="44"/>
      <c r="N243" s="44"/>
    </row>
    <row r="244">
      <c r="A244" s="76"/>
      <c r="B244" s="76"/>
      <c r="C244" s="76"/>
      <c r="D244" s="76"/>
      <c r="E244" s="90"/>
      <c r="F244" s="91"/>
      <c r="G244" s="91"/>
      <c r="H244" s="92"/>
      <c r="I244" s="88"/>
      <c r="J244" s="88"/>
      <c r="K244" s="88"/>
      <c r="L244" s="88"/>
      <c r="M244" s="44"/>
      <c r="N244" s="44"/>
    </row>
    <row r="245">
      <c r="A245" s="76"/>
      <c r="B245" s="76"/>
      <c r="C245" s="76"/>
      <c r="D245" s="76"/>
      <c r="E245" s="90"/>
      <c r="F245" s="91"/>
      <c r="G245" s="91"/>
      <c r="H245" s="92"/>
      <c r="I245" s="88"/>
      <c r="J245" s="88"/>
      <c r="K245" s="88"/>
      <c r="L245" s="88"/>
      <c r="M245" s="44"/>
      <c r="N245" s="44"/>
    </row>
    <row r="246">
      <c r="A246" s="76"/>
      <c r="B246" s="76"/>
      <c r="C246" s="76"/>
      <c r="D246" s="76"/>
      <c r="E246" s="90"/>
      <c r="F246" s="91"/>
      <c r="G246" s="91"/>
      <c r="H246" s="92"/>
      <c r="I246" s="88"/>
      <c r="J246" s="88"/>
      <c r="K246" s="88"/>
      <c r="L246" s="88"/>
      <c r="M246" s="44"/>
      <c r="N246" s="44"/>
    </row>
    <row r="247">
      <c r="A247" s="76"/>
      <c r="B247" s="76"/>
      <c r="C247" s="76"/>
      <c r="D247" s="76"/>
      <c r="E247" s="90"/>
      <c r="F247" s="91"/>
      <c r="G247" s="91"/>
      <c r="H247" s="92"/>
      <c r="I247" s="88"/>
      <c r="J247" s="88"/>
      <c r="K247" s="88"/>
      <c r="L247" s="88"/>
      <c r="M247" s="44"/>
      <c r="N247" s="44"/>
    </row>
    <row r="248">
      <c r="A248" s="76"/>
      <c r="B248" s="76"/>
      <c r="C248" s="76"/>
      <c r="D248" s="76"/>
      <c r="E248" s="90"/>
      <c r="F248" s="91"/>
      <c r="G248" s="91"/>
      <c r="H248" s="92"/>
      <c r="I248" s="88"/>
      <c r="J248" s="88"/>
      <c r="K248" s="88"/>
      <c r="L248" s="88"/>
      <c r="M248" s="44"/>
      <c r="N248" s="44"/>
    </row>
    <row r="249">
      <c r="A249" s="76"/>
      <c r="B249" s="76"/>
      <c r="C249" s="76"/>
      <c r="D249" s="76"/>
      <c r="E249" s="90"/>
      <c r="F249" s="91"/>
      <c r="G249" s="91"/>
      <c r="H249" s="92"/>
      <c r="I249" s="88"/>
      <c r="J249" s="88"/>
      <c r="K249" s="88"/>
      <c r="L249" s="88"/>
      <c r="M249" s="44"/>
      <c r="N249" s="44"/>
    </row>
    <row r="250">
      <c r="A250" s="76"/>
      <c r="B250" s="76"/>
      <c r="C250" s="76"/>
      <c r="D250" s="76"/>
      <c r="E250" s="90"/>
      <c r="F250" s="91"/>
      <c r="G250" s="91"/>
      <c r="H250" s="93"/>
      <c r="I250" s="88"/>
      <c r="J250" s="88"/>
      <c r="K250" s="88"/>
      <c r="L250" s="88"/>
      <c r="M250" s="89"/>
      <c r="N250" s="89"/>
    </row>
    <row r="251">
      <c r="A251" s="76"/>
      <c r="B251" s="76"/>
      <c r="C251" s="76"/>
      <c r="D251" s="76"/>
      <c r="E251" s="44"/>
      <c r="F251" s="44"/>
      <c r="G251" s="44"/>
      <c r="H251" s="44"/>
      <c r="I251" s="44"/>
      <c r="J251" s="44"/>
      <c r="K251" s="44"/>
      <c r="L251" s="44"/>
    </row>
    <row r="252">
      <c r="A252" s="76"/>
      <c r="B252" s="76"/>
      <c r="C252" s="76"/>
      <c r="D252" s="76"/>
      <c r="E252" s="44"/>
      <c r="F252" s="44"/>
      <c r="G252" s="44"/>
      <c r="H252" s="44"/>
      <c r="I252" s="44"/>
      <c r="J252" s="44"/>
      <c r="K252" s="44"/>
      <c r="L252" s="44"/>
    </row>
    <row r="253">
      <c r="A253" s="76"/>
      <c r="B253" s="76"/>
      <c r="C253" s="76"/>
      <c r="D253" s="76"/>
      <c r="E253" s="44"/>
      <c r="F253" s="44"/>
      <c r="G253" s="44"/>
      <c r="H253" s="44"/>
      <c r="I253" s="44"/>
      <c r="J253" s="44"/>
      <c r="K253" s="44"/>
      <c r="L253" s="44"/>
    </row>
    <row r="254">
      <c r="A254" s="76"/>
      <c r="B254" s="76"/>
      <c r="C254" s="76"/>
      <c r="D254" s="76"/>
      <c r="E254" s="44"/>
      <c r="F254" s="44"/>
      <c r="G254" s="44"/>
      <c r="H254" s="44"/>
      <c r="I254" s="44"/>
      <c r="J254" s="44"/>
      <c r="K254" s="44"/>
      <c r="L254" s="44"/>
    </row>
    <row r="255">
      <c r="A255" s="76"/>
      <c r="B255" s="76"/>
      <c r="C255" s="76"/>
      <c r="D255" s="76"/>
      <c r="E255" s="44"/>
      <c r="F255" s="44"/>
      <c r="G255" s="44"/>
      <c r="H255" s="44"/>
      <c r="I255" s="44"/>
      <c r="J255" s="44"/>
      <c r="K255" s="44"/>
      <c r="L255" s="44"/>
    </row>
    <row r="256">
      <c r="A256" s="76"/>
      <c r="B256" s="76"/>
      <c r="C256" s="76"/>
      <c r="D256" s="76"/>
      <c r="E256" s="44"/>
      <c r="F256" s="44"/>
      <c r="G256" s="44"/>
      <c r="H256" s="44"/>
      <c r="I256" s="44"/>
      <c r="J256" s="44"/>
      <c r="K256" s="44"/>
      <c r="L256" s="44"/>
    </row>
    <row r="257">
      <c r="A257" s="76"/>
      <c r="B257" s="76"/>
      <c r="C257" s="76"/>
      <c r="D257" s="76"/>
      <c r="E257" s="44"/>
      <c r="F257" s="44"/>
      <c r="G257" s="44"/>
      <c r="H257" s="44"/>
      <c r="I257" s="44"/>
      <c r="J257" s="44"/>
      <c r="K257" s="44"/>
      <c r="L257" s="44"/>
    </row>
    <row r="258">
      <c r="A258" s="76"/>
      <c r="B258" s="76"/>
      <c r="C258" s="76"/>
      <c r="D258" s="76"/>
      <c r="E258" s="44"/>
      <c r="F258" s="44"/>
      <c r="G258" s="44"/>
      <c r="H258" s="44"/>
      <c r="I258" s="44"/>
      <c r="J258" s="44"/>
      <c r="K258" s="44"/>
      <c r="L258" s="44"/>
    </row>
    <row r="259">
      <c r="A259" s="76"/>
      <c r="B259" s="76"/>
      <c r="C259" s="76"/>
      <c r="D259" s="76"/>
      <c r="E259" s="44"/>
      <c r="F259" s="44"/>
      <c r="G259" s="44"/>
      <c r="H259" s="44"/>
      <c r="I259" s="44"/>
      <c r="J259" s="44"/>
      <c r="K259" s="44"/>
      <c r="L259" s="44"/>
    </row>
    <row r="260">
      <c r="A260" s="76"/>
      <c r="B260" s="76"/>
      <c r="C260" s="76"/>
      <c r="D260" s="76"/>
      <c r="E260" s="44"/>
      <c r="F260" s="44"/>
      <c r="G260" s="44"/>
      <c r="H260" s="44"/>
      <c r="I260" s="44"/>
      <c r="J260" s="44"/>
      <c r="K260" s="44"/>
      <c r="L260" s="44"/>
    </row>
    <row r="261">
      <c r="A261" s="76"/>
      <c r="B261" s="76"/>
      <c r="C261" s="76"/>
      <c r="D261" s="76"/>
      <c r="E261" s="44"/>
      <c r="F261" s="44"/>
      <c r="G261" s="44"/>
      <c r="H261" s="44"/>
      <c r="I261" s="44"/>
      <c r="J261" s="44"/>
      <c r="K261" s="44"/>
      <c r="L261" s="44"/>
    </row>
    <row r="262">
      <c r="A262" s="76"/>
      <c r="B262" s="76"/>
      <c r="C262" s="76"/>
      <c r="D262" s="76"/>
      <c r="E262" s="44"/>
      <c r="F262" s="44"/>
      <c r="G262" s="44"/>
      <c r="H262" s="44"/>
      <c r="I262" s="44"/>
      <c r="J262" s="44"/>
      <c r="K262" s="44"/>
      <c r="L262" s="44"/>
    </row>
    <row r="263">
      <c r="A263" s="76"/>
      <c r="B263" s="76"/>
      <c r="C263" s="76"/>
      <c r="D263" s="76"/>
      <c r="E263" s="44"/>
      <c r="F263" s="44"/>
      <c r="G263" s="44"/>
      <c r="H263" s="44"/>
      <c r="I263" s="44"/>
      <c r="J263" s="44"/>
      <c r="K263" s="44"/>
      <c r="L263" s="44"/>
    </row>
    <row r="264">
      <c r="A264" s="76"/>
      <c r="B264" s="76"/>
      <c r="C264" s="76"/>
      <c r="D264" s="76"/>
      <c r="E264" s="44"/>
      <c r="F264" s="44"/>
      <c r="G264" s="44"/>
      <c r="H264" s="44"/>
      <c r="I264" s="44"/>
      <c r="J264" s="44"/>
      <c r="K264" s="44"/>
      <c r="L264" s="44"/>
    </row>
    <row r="265">
      <c r="A265" s="76"/>
      <c r="B265" s="76"/>
      <c r="C265" s="76"/>
      <c r="D265" s="76"/>
      <c r="E265" s="44"/>
      <c r="F265" s="44"/>
      <c r="G265" s="44"/>
      <c r="H265" s="44"/>
      <c r="I265" s="44"/>
      <c r="J265" s="44"/>
      <c r="K265" s="44"/>
      <c r="L265" s="44"/>
    </row>
    <row r="266">
      <c r="A266" s="76"/>
      <c r="B266" s="76"/>
      <c r="C266" s="76"/>
      <c r="D266" s="76"/>
      <c r="E266" s="44"/>
      <c r="F266" s="44"/>
      <c r="G266" s="44"/>
      <c r="H266" s="44"/>
      <c r="I266" s="44"/>
      <c r="J266" s="44"/>
      <c r="K266" s="44"/>
      <c r="L266" s="44"/>
    </row>
    <row r="267">
      <c r="A267" s="76"/>
      <c r="B267" s="76"/>
      <c r="C267" s="76"/>
      <c r="D267" s="76"/>
      <c r="E267" s="44"/>
      <c r="F267" s="44"/>
      <c r="G267" s="44"/>
      <c r="H267" s="44"/>
      <c r="I267" s="44"/>
      <c r="J267" s="44"/>
      <c r="K267" s="44"/>
      <c r="L267" s="44"/>
    </row>
    <row r="268">
      <c r="A268" s="76"/>
      <c r="B268" s="76"/>
      <c r="C268" s="76"/>
      <c r="D268" s="76"/>
      <c r="E268" s="44"/>
      <c r="F268" s="44"/>
      <c r="G268" s="44"/>
      <c r="H268" s="44"/>
      <c r="I268" s="44"/>
      <c r="J268" s="44"/>
      <c r="K268" s="44"/>
      <c r="L268" s="44"/>
    </row>
    <row r="269">
      <c r="A269" s="76"/>
      <c r="B269" s="76"/>
      <c r="C269" s="76"/>
      <c r="D269" s="76"/>
      <c r="E269" s="44"/>
      <c r="F269" s="44"/>
      <c r="G269" s="44"/>
      <c r="H269" s="44"/>
      <c r="I269" s="44"/>
      <c r="J269" s="44"/>
      <c r="K269" s="44"/>
      <c r="L269" s="44"/>
    </row>
    <row r="270">
      <c r="A270" s="76"/>
      <c r="B270" s="76"/>
      <c r="C270" s="76"/>
      <c r="D270" s="76"/>
      <c r="E270" s="94"/>
      <c r="F270" s="44"/>
      <c r="G270" s="44"/>
      <c r="H270" s="44"/>
      <c r="I270" s="88"/>
      <c r="J270" s="89"/>
      <c r="K270" s="89"/>
      <c r="L270" s="89"/>
    </row>
    <row r="271">
      <c r="A271" s="76"/>
      <c r="B271" s="76"/>
      <c r="C271" s="76"/>
      <c r="D271" s="76"/>
    </row>
    <row r="272">
      <c r="A272" s="76"/>
      <c r="B272" s="76"/>
      <c r="C272" s="76"/>
      <c r="D272" s="76"/>
    </row>
    <row r="273">
      <c r="A273" s="76"/>
      <c r="B273" s="76"/>
      <c r="C273" s="76"/>
      <c r="D273" s="76"/>
    </row>
    <row r="274">
      <c r="A274" s="76"/>
      <c r="B274" s="76"/>
      <c r="C274" s="76"/>
      <c r="D274" s="76"/>
    </row>
    <row r="275">
      <c r="A275" s="76"/>
      <c r="B275" s="76"/>
      <c r="C275" s="76"/>
      <c r="D275" s="76"/>
    </row>
    <row r="276">
      <c r="A276" s="76"/>
      <c r="B276" s="76"/>
      <c r="C276" s="76"/>
      <c r="D276" s="76"/>
    </row>
    <row r="277">
      <c r="A277" s="76"/>
      <c r="B277" s="76"/>
      <c r="C277" s="76"/>
      <c r="D277" s="76"/>
    </row>
    <row r="278">
      <c r="A278" s="76"/>
      <c r="B278" s="76"/>
      <c r="C278" s="76"/>
      <c r="D278" s="76"/>
    </row>
    <row r="279">
      <c r="A279" s="76"/>
      <c r="B279" s="76"/>
      <c r="C279" s="76"/>
      <c r="D279" s="76"/>
    </row>
    <row r="280">
      <c r="A280" s="76"/>
      <c r="B280" s="76"/>
      <c r="C280" s="76"/>
      <c r="D280" s="76"/>
    </row>
    <row r="281">
      <c r="A281" s="76"/>
      <c r="B281" s="76"/>
      <c r="C281" s="76"/>
      <c r="D281" s="76"/>
    </row>
    <row r="282">
      <c r="A282" s="76"/>
      <c r="B282" s="76"/>
      <c r="C282" s="76"/>
      <c r="D282" s="76"/>
    </row>
    <row r="283">
      <c r="A283" s="76"/>
      <c r="B283" s="76"/>
      <c r="C283" s="76"/>
      <c r="D283" s="76"/>
    </row>
    <row r="284">
      <c r="A284" s="76"/>
      <c r="B284" s="76"/>
      <c r="C284" s="76"/>
      <c r="D284" s="76"/>
    </row>
    <row r="285">
      <c r="A285" s="76"/>
      <c r="B285" s="76"/>
      <c r="C285" s="76"/>
      <c r="D285" s="76"/>
    </row>
    <row r="286">
      <c r="A286" s="76"/>
      <c r="B286" s="76"/>
      <c r="C286" s="76"/>
      <c r="D286" s="76"/>
    </row>
    <row r="287">
      <c r="A287" s="76"/>
      <c r="B287" s="76"/>
      <c r="C287" s="76"/>
      <c r="D287" s="76"/>
    </row>
    <row r="288">
      <c r="A288" s="76"/>
      <c r="B288" s="76"/>
      <c r="C288" s="76"/>
      <c r="D288" s="76"/>
    </row>
    <row r="289">
      <c r="A289" s="76"/>
      <c r="B289" s="76"/>
      <c r="C289" s="76"/>
      <c r="D289" s="76"/>
    </row>
    <row r="290">
      <c r="A290" s="76"/>
      <c r="B290" s="76"/>
      <c r="C290" s="76"/>
      <c r="D290" s="76"/>
    </row>
    <row r="291">
      <c r="A291" s="76"/>
      <c r="B291" s="76"/>
      <c r="C291" s="76"/>
      <c r="D291" s="76"/>
    </row>
    <row r="292">
      <c r="A292" s="76"/>
      <c r="B292" s="76"/>
      <c r="C292" s="76"/>
      <c r="D292" s="76"/>
    </row>
    <row r="293">
      <c r="A293" s="76"/>
      <c r="B293" s="76"/>
      <c r="C293" s="76"/>
      <c r="D293" s="76"/>
    </row>
    <row r="294">
      <c r="A294" s="76"/>
      <c r="B294" s="76"/>
      <c r="C294" s="76"/>
      <c r="D294" s="76"/>
    </row>
    <row r="295">
      <c r="A295" s="76"/>
      <c r="B295" s="76"/>
      <c r="C295" s="76"/>
      <c r="D295" s="76"/>
    </row>
    <row r="296">
      <c r="A296" s="76"/>
      <c r="B296" s="76"/>
      <c r="C296" s="76"/>
      <c r="D296" s="76"/>
    </row>
    <row r="297">
      <c r="A297" s="76"/>
      <c r="B297" s="76"/>
      <c r="C297" s="76"/>
      <c r="D297" s="76"/>
    </row>
    <row r="298">
      <c r="A298" s="76"/>
      <c r="B298" s="76"/>
      <c r="C298" s="76"/>
      <c r="D298" s="76"/>
    </row>
    <row r="299">
      <c r="A299" s="76"/>
      <c r="B299" s="76"/>
      <c r="C299" s="76"/>
      <c r="D299" s="76"/>
    </row>
    <row r="300">
      <c r="A300" s="76"/>
      <c r="B300" s="76"/>
      <c r="C300" s="76"/>
      <c r="D300" s="76"/>
    </row>
    <row r="301">
      <c r="A301" s="76"/>
      <c r="B301" s="76"/>
      <c r="C301" s="76"/>
      <c r="D301" s="76"/>
    </row>
    <row r="302">
      <c r="A302" s="76"/>
      <c r="B302" s="76"/>
      <c r="C302" s="76"/>
      <c r="D302" s="76"/>
    </row>
    <row r="303">
      <c r="A303" s="76"/>
      <c r="B303" s="76"/>
      <c r="C303" s="76"/>
      <c r="D303" s="76"/>
    </row>
    <row r="304">
      <c r="A304" s="76"/>
      <c r="B304" s="76"/>
      <c r="C304" s="76"/>
      <c r="D304" s="76"/>
    </row>
    <row r="305">
      <c r="A305" s="76"/>
      <c r="B305" s="76"/>
      <c r="C305" s="76"/>
      <c r="D305" s="76"/>
    </row>
    <row r="306">
      <c r="A306" s="76"/>
      <c r="B306" s="76"/>
      <c r="C306" s="76"/>
      <c r="D306" s="76"/>
    </row>
    <row r="307">
      <c r="A307" s="76"/>
      <c r="B307" s="76"/>
      <c r="C307" s="76"/>
      <c r="D307" s="76"/>
    </row>
    <row r="308">
      <c r="A308" s="76"/>
      <c r="B308" s="76"/>
      <c r="C308" s="76"/>
      <c r="D308" s="76"/>
    </row>
    <row r="309">
      <c r="A309" s="76"/>
      <c r="B309" s="76"/>
      <c r="C309" s="76"/>
      <c r="D309" s="76"/>
    </row>
    <row r="310">
      <c r="A310" s="76"/>
      <c r="B310" s="76"/>
      <c r="C310" s="76"/>
      <c r="D310" s="76"/>
    </row>
    <row r="311">
      <c r="A311" s="76"/>
      <c r="B311" s="76"/>
      <c r="C311" s="76"/>
      <c r="D311" s="76"/>
    </row>
    <row r="312">
      <c r="A312" s="76"/>
      <c r="B312" s="76"/>
      <c r="C312" s="76"/>
      <c r="D312" s="76"/>
    </row>
    <row r="313">
      <c r="A313" s="76"/>
      <c r="B313" s="76"/>
      <c r="C313" s="76"/>
      <c r="D313" s="76"/>
    </row>
    <row r="314">
      <c r="A314" s="76"/>
      <c r="B314" s="76"/>
      <c r="C314" s="76"/>
      <c r="D314" s="76"/>
    </row>
    <row r="315">
      <c r="A315" s="76"/>
      <c r="B315" s="76"/>
      <c r="C315" s="76"/>
      <c r="D315" s="76"/>
    </row>
    <row r="316">
      <c r="A316" s="76"/>
      <c r="B316" s="76"/>
      <c r="C316" s="76"/>
      <c r="D316" s="76"/>
    </row>
    <row r="317">
      <c r="A317" s="76"/>
      <c r="B317" s="76"/>
      <c r="C317" s="76"/>
      <c r="D317" s="76"/>
    </row>
    <row r="318">
      <c r="A318" s="76"/>
      <c r="B318" s="76"/>
      <c r="C318" s="76"/>
      <c r="D318" s="76"/>
    </row>
    <row r="319">
      <c r="A319" s="76"/>
      <c r="B319" s="76"/>
      <c r="C319" s="76"/>
      <c r="D319" s="76"/>
    </row>
    <row r="320">
      <c r="A320" s="76"/>
      <c r="B320" s="76"/>
      <c r="C320" s="76"/>
      <c r="D320" s="76"/>
    </row>
    <row r="321">
      <c r="A321" s="76"/>
      <c r="B321" s="76"/>
      <c r="C321" s="76"/>
      <c r="D321" s="76"/>
    </row>
    <row r="322">
      <c r="A322" s="76"/>
      <c r="B322" s="76"/>
      <c r="C322" s="76"/>
      <c r="D322" s="76"/>
    </row>
  </sheetData>
  <mergeCells count="1">
    <mergeCell ref="A1:M1"/>
  </mergeCells>
  <dataValidations>
    <dataValidation type="custom" allowBlank="1" showDropDown="1" sqref="T48:T53 I89:I101">
      <formula1>OR(NOT(ISERROR(DATEVALUE(I48))), AND(ISNUMBER(I48), LEFT(CELL("format", I48))="D"))</formula1>
    </dataValidation>
    <dataValidation type="custom" allowBlank="1" showDropDown="1" sqref="J89:N101">
      <formula1>AND(ISNUMBER(J89),(NOT(OR(NOT(ISERROR(DATEVALUE(J89))), AND(ISNUMBER(J89), LEFT(CELL("format", J89))="D")))))</formula1>
    </dataValidation>
    <dataValidation type="list" allowBlank="1" sqref="D6:D82">
      <formula1>"Completo,No iniciado,En Processo,Listo Para Revisar"</formula1>
    </dataValidation>
  </dataValidations>
  <drawing r:id="rId1"/>
  <tableParts count="13">
    <tablePart r:id="rId15"/>
    <tablePart r:id="rId16"/>
    <tablePart r:id="rId17"/>
    <tablePart r:id="rId18"/>
    <tablePart r:id="rId19"/>
    <tablePart r:id="rId20"/>
    <tablePart r:id="rId21"/>
    <tablePart r:id="rId22"/>
    <tablePart r:id="rId23"/>
    <tablePart r:id="rId24"/>
    <tablePart r:id="rId25"/>
    <tablePart r:id="rId26"/>
    <tablePart r:id="rId27"/>
  </tableParts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1" max="6" width="22.63"/>
  </cols>
  <sheetData>
    <row r="1" ht="22.5" customHeight="1">
      <c r="A1" s="95" t="s">
        <v>184</v>
      </c>
      <c r="B1" s="95" t="s">
        <v>185</v>
      </c>
      <c r="C1" s="95" t="s">
        <v>186</v>
      </c>
      <c r="D1" s="95" t="s">
        <v>187</v>
      </c>
      <c r="E1" s="95" t="s">
        <v>188</v>
      </c>
      <c r="F1" s="95" t="s">
        <v>189</v>
      </c>
    </row>
    <row r="2" ht="22.5" customHeight="1">
      <c r="A2" s="96"/>
      <c r="B2" s="96"/>
      <c r="C2" s="96"/>
      <c r="D2" s="96"/>
      <c r="E2" s="96"/>
      <c r="F2" s="96"/>
    </row>
    <row r="3" ht="22.5" customHeight="1">
      <c r="A3" s="96"/>
      <c r="B3" s="96"/>
      <c r="C3" s="96"/>
      <c r="D3" s="96"/>
      <c r="E3" s="96"/>
      <c r="F3" s="96"/>
    </row>
    <row r="4" ht="22.5" customHeight="1">
      <c r="A4" s="96"/>
      <c r="B4" s="96"/>
      <c r="C4" s="96"/>
      <c r="D4" s="96"/>
      <c r="E4" s="96"/>
      <c r="F4" s="96"/>
    </row>
    <row r="5" ht="22.5" customHeight="1">
      <c r="A5" s="96"/>
      <c r="B5" s="96"/>
      <c r="C5" s="96"/>
      <c r="D5" s="96"/>
      <c r="E5" s="96"/>
      <c r="F5" s="96"/>
    </row>
    <row r="6" ht="22.5" customHeight="1">
      <c r="A6" s="96"/>
      <c r="B6" s="96"/>
      <c r="C6" s="96"/>
      <c r="D6" s="96"/>
      <c r="E6" s="96"/>
      <c r="F6" s="96"/>
    </row>
    <row r="7" ht="22.5" customHeight="1">
      <c r="A7" s="96"/>
      <c r="B7" s="96"/>
      <c r="C7" s="96"/>
      <c r="D7" s="96"/>
      <c r="E7" s="96"/>
      <c r="F7" s="96"/>
    </row>
    <row r="8" ht="22.5" customHeight="1">
      <c r="A8" s="96"/>
      <c r="B8" s="96"/>
      <c r="C8" s="96"/>
      <c r="D8" s="96"/>
      <c r="E8" s="96"/>
      <c r="F8" s="96"/>
    </row>
    <row r="9" ht="22.5" customHeight="1">
      <c r="A9" s="96"/>
      <c r="B9" s="96"/>
      <c r="C9" s="96"/>
      <c r="D9" s="96"/>
      <c r="E9" s="96"/>
      <c r="F9" s="96"/>
    </row>
    <row r="10" ht="22.5" customHeight="1">
      <c r="A10" s="96"/>
      <c r="B10" s="96"/>
      <c r="C10" s="96"/>
      <c r="D10" s="96"/>
      <c r="E10" s="96"/>
      <c r="F10" s="96"/>
    </row>
    <row r="11" ht="22.5" customHeight="1">
      <c r="A11" s="96"/>
      <c r="B11" s="96"/>
      <c r="C11" s="96"/>
      <c r="D11" s="96"/>
      <c r="E11" s="96"/>
      <c r="F11" s="96"/>
    </row>
    <row r="12" ht="22.5" customHeight="1">
      <c r="A12" s="96"/>
      <c r="B12" s="96"/>
      <c r="C12" s="96"/>
      <c r="D12" s="96"/>
      <c r="E12" s="96"/>
      <c r="F12" s="96"/>
    </row>
    <row r="13" ht="22.5" customHeight="1">
      <c r="A13" s="96"/>
      <c r="B13" s="96"/>
      <c r="C13" s="96"/>
      <c r="D13" s="96"/>
      <c r="E13" s="96"/>
      <c r="F13" s="96"/>
    </row>
    <row r="14" ht="22.5" customHeight="1">
      <c r="A14" s="96"/>
      <c r="B14" s="96"/>
      <c r="C14" s="96"/>
      <c r="D14" s="96"/>
      <c r="E14" s="96"/>
      <c r="F14" s="96"/>
    </row>
    <row r="15" ht="22.5" customHeight="1">
      <c r="A15" s="96"/>
      <c r="B15" s="96"/>
      <c r="C15" s="96"/>
      <c r="D15" s="96"/>
      <c r="E15" s="96"/>
      <c r="F15" s="96"/>
    </row>
  </sheetData>
  <drawing r:id="rId1"/>
  <tableParts count="1">
    <tablePart r:id="rId3"/>
  </tableParts>
</worksheet>
</file>